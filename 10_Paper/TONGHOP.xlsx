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10_Paper/"/>
    </mc:Choice>
  </mc:AlternateContent>
  <xr:revisionPtr revIDLastSave="239" documentId="11_F25DC773A252ABDACC10481FC11A7A2C5ADE58E6" xr6:coauthVersionLast="47" xr6:coauthVersionMax="47" xr10:uidLastSave="{87B99F69-D34B-4E61-8B26-290ACBD4D604}"/>
  <bookViews>
    <workbookView xWindow="-108" yWindow="-108" windowWidth="23256" windowHeight="13176" activeTab="1" xr2:uid="{00000000-000D-0000-FFFF-FFFF00000000}"/>
  </bookViews>
  <sheets>
    <sheet name="So sánh thời gian dung lượng" sheetId="1" r:id="rId1"/>
    <sheet name="% cải thiệ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" i="2"/>
  <c r="P15" i="2"/>
  <c r="P3" i="2"/>
  <c r="P4" i="2"/>
  <c r="P5" i="2"/>
  <c r="P6" i="2"/>
  <c r="P7" i="2"/>
  <c r="P8" i="2"/>
  <c r="P9" i="2"/>
  <c r="P10" i="2"/>
  <c r="P11" i="2"/>
  <c r="P12" i="2"/>
  <c r="P13" i="2"/>
  <c r="P14" i="2"/>
  <c r="P16" i="2"/>
  <c r="P17" i="2"/>
  <c r="P18" i="2"/>
  <c r="P19" i="2"/>
  <c r="P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" i="2"/>
  <c r="M4" i="2"/>
  <c r="M3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2" i="2"/>
</calcChain>
</file>

<file path=xl/sharedStrings.xml><?xml version="1.0" encoding="utf-8"?>
<sst xmlns="http://schemas.openxmlformats.org/spreadsheetml/2006/main" count="60" uniqueCount="31">
  <si>
    <t>[2 1.117 0.7112 0.43 0.2416]</t>
  </si>
  <si>
    <t>[2 1.397 0.8671 0.5149 0.3312]</t>
  </si>
  <si>
    <t>[2 1.187 0.6797 0.4305 0.2489]</t>
  </si>
  <si>
    <t>[2 1.284 0.7928 0.4792 0.2916]</t>
  </si>
  <si>
    <t>[2 1.212 0.8585 0.5394 0.2904]</t>
  </si>
  <si>
    <t>[2 1.191 0.7731 0.4906 0.2761]</t>
  </si>
  <si>
    <t>[2 1.325 0.772 0.5178 0.2818]</t>
  </si>
  <si>
    <t>[2 1.353 1.084 0.6746 0.4178]</t>
  </si>
  <si>
    <t>[2 1.184 0.7767 0.5032 0.2877]</t>
  </si>
  <si>
    <t>[2 1.384 0.8804 0.5765 0.3807]</t>
  </si>
  <si>
    <t>[2 1.253 0.692 0.4699 0.2736]</t>
  </si>
  <si>
    <t>[2 1.239 0.7465 0.4497 0.2835]</t>
  </si>
  <si>
    <t>[2 1.204 0.6212 0.4109 0.2686]</t>
  </si>
  <si>
    <t>[2 1.409 1.024 0.7644 0.5658]</t>
  </si>
  <si>
    <t>[2 1.146 0.6628 0.4266 0.2693]</t>
  </si>
  <si>
    <t>[2 1.335 0.8514 0.439 0.2415]</t>
  </si>
  <si>
    <t>[2 1.244 0.6793 0.4777 0.3051]</t>
  </si>
  <si>
    <t>[1.65 1.299 0.7347 0.5169 0.246]</t>
  </si>
  <si>
    <t>SoC_initial</t>
  </si>
  <si>
    <t>I_pattern</t>
  </si>
  <si>
    <t>Function</t>
  </si>
  <si>
    <t>Time_first</t>
  </si>
  <si>
    <t xml:space="preserve">Capacity_first </t>
  </si>
  <si>
    <t>ChargeTime_s_MSCC</t>
  </si>
  <si>
    <t>Capacity_mAh_MSCC</t>
  </si>
  <si>
    <t>ChargeTime_s_CCCV</t>
  </si>
  <si>
    <t>Capacity_mAh_CCCV</t>
  </si>
  <si>
    <t>%TimeMSCC</t>
  </si>
  <si>
    <t>%CapacityMSCC</t>
  </si>
  <si>
    <t>%TimeCCCV</t>
  </si>
  <si>
    <t>%CapacityCCCV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</si>
</sst>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 sánh thời gian dung lượng'!$D$1</c:f>
              <c:strCache>
                <c:ptCount val="1"/>
                <c:pt idx="0">
                  <c:v>Time_first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'So sánh thời gian dung lượng'!$A$2:$A$20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numCache>
            </c:numRef>
          </c:xVal>
          <c:yVal>
            <c:numRef>
              <c:f>'So sánh thời gian dung lượng'!$D$2:$D$20</c:f>
              <c:numCache>
                <c:formatCode>General</c:formatCode>
                <c:ptCount val="19"/>
                <c:pt idx="0">
                  <c:v>3662.09</c:v>
                </c:pt>
                <c:pt idx="1">
                  <c:v>3419.42</c:v>
                </c:pt>
                <c:pt idx="2">
                  <c:v>3190.56</c:v>
                </c:pt>
                <c:pt idx="3">
                  <c:v>2962.41</c:v>
                </c:pt>
                <c:pt idx="4">
                  <c:v>2899</c:v>
                </c:pt>
                <c:pt idx="5">
                  <c:v>2702.37</c:v>
                </c:pt>
                <c:pt idx="6">
                  <c:v>2570.0300000000002</c:v>
                </c:pt>
                <c:pt idx="7">
                  <c:v>2368.21</c:v>
                </c:pt>
                <c:pt idx="8">
                  <c:v>2152.58</c:v>
                </c:pt>
                <c:pt idx="9">
                  <c:v>1759.32</c:v>
                </c:pt>
                <c:pt idx="10">
                  <c:v>1800.45</c:v>
                </c:pt>
                <c:pt idx="11">
                  <c:v>1642.22</c:v>
                </c:pt>
                <c:pt idx="12">
                  <c:v>1453.8</c:v>
                </c:pt>
                <c:pt idx="13">
                  <c:v>1328.12</c:v>
                </c:pt>
                <c:pt idx="14">
                  <c:v>1089.68</c:v>
                </c:pt>
                <c:pt idx="15">
                  <c:v>881.87</c:v>
                </c:pt>
                <c:pt idx="16">
                  <c:v>598.53</c:v>
                </c:pt>
                <c:pt idx="17">
                  <c:v>598.24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AB-4961-AC7C-5189C1AC1D2F}"/>
            </c:ext>
          </c:extLst>
        </c:ser>
        <c:ser>
          <c:idx val="1"/>
          <c:order val="1"/>
          <c:tx>
            <c:strRef>
              <c:f>'So sánh thời gian dung lượng'!$I$1</c:f>
              <c:strCache>
                <c:ptCount val="1"/>
                <c:pt idx="0">
                  <c:v>ChargeTime_s_MSCC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'So sánh thời gian dung lượng'!$A$2:$A$20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numCache>
            </c:numRef>
          </c:xVal>
          <c:yVal>
            <c:numRef>
              <c:f>'So sánh thời gian dung lượng'!$I$2:$I$20</c:f>
              <c:numCache>
                <c:formatCode>General</c:formatCode>
                <c:ptCount val="19"/>
                <c:pt idx="0">
                  <c:v>3662.09</c:v>
                </c:pt>
                <c:pt idx="1">
                  <c:v>3482.09</c:v>
                </c:pt>
                <c:pt idx="2">
                  <c:v>3302.09</c:v>
                </c:pt>
                <c:pt idx="3">
                  <c:v>3122.09</c:v>
                </c:pt>
                <c:pt idx="4">
                  <c:v>2942.09</c:v>
                </c:pt>
                <c:pt idx="5">
                  <c:v>2762.09</c:v>
                </c:pt>
                <c:pt idx="6">
                  <c:v>2582.09</c:v>
                </c:pt>
                <c:pt idx="7">
                  <c:v>2402.09</c:v>
                </c:pt>
                <c:pt idx="8">
                  <c:v>2222.09</c:v>
                </c:pt>
                <c:pt idx="9">
                  <c:v>2042.0900000000001</c:v>
                </c:pt>
                <c:pt idx="10">
                  <c:v>1862.0900000000001</c:v>
                </c:pt>
                <c:pt idx="11">
                  <c:v>1682.0900000000001</c:v>
                </c:pt>
                <c:pt idx="12">
                  <c:v>1502.09</c:v>
                </c:pt>
                <c:pt idx="13">
                  <c:v>1322.09</c:v>
                </c:pt>
                <c:pt idx="14">
                  <c:v>1142.0899999999999</c:v>
                </c:pt>
                <c:pt idx="15">
                  <c:v>962.09</c:v>
                </c:pt>
                <c:pt idx="16">
                  <c:v>782.09</c:v>
                </c:pt>
                <c:pt idx="17">
                  <c:v>602.09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AB-4961-AC7C-5189C1AC1D2F}"/>
            </c:ext>
          </c:extLst>
        </c:ser>
        <c:ser>
          <c:idx val="2"/>
          <c:order val="2"/>
          <c:tx>
            <c:strRef>
              <c:f>'So sánh thời gian dung lượng'!$N$1</c:f>
              <c:strCache>
                <c:ptCount val="1"/>
                <c:pt idx="0">
                  <c:v>ChargeTime_s_CCCV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'So sánh thời gian dung lượng'!$A$2:$A$20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numCache>
            </c:numRef>
          </c:xVal>
          <c:yVal>
            <c:numRef>
              <c:f>'So sánh thời gian dung lượng'!$N$2:$N$20</c:f>
              <c:numCache>
                <c:formatCode>General</c:formatCode>
                <c:ptCount val="19"/>
                <c:pt idx="0">
                  <c:v>3710.1089999999999</c:v>
                </c:pt>
                <c:pt idx="1">
                  <c:v>3530.1089999999999</c:v>
                </c:pt>
                <c:pt idx="2">
                  <c:v>3350.1089999999999</c:v>
                </c:pt>
                <c:pt idx="3">
                  <c:v>3170.1089999999999</c:v>
                </c:pt>
                <c:pt idx="4">
                  <c:v>2990.1089999999999</c:v>
                </c:pt>
                <c:pt idx="5">
                  <c:v>2810.1089999999999</c:v>
                </c:pt>
                <c:pt idx="6">
                  <c:v>2630.1089999999999</c:v>
                </c:pt>
                <c:pt idx="7">
                  <c:v>2450.1089999999999</c:v>
                </c:pt>
                <c:pt idx="8">
                  <c:v>2270.1089999999999</c:v>
                </c:pt>
                <c:pt idx="9">
                  <c:v>2090.1089999999999</c:v>
                </c:pt>
                <c:pt idx="10">
                  <c:v>1910.1090000000002</c:v>
                </c:pt>
                <c:pt idx="11">
                  <c:v>1730.1089999999999</c:v>
                </c:pt>
                <c:pt idx="12">
                  <c:v>1550.1089999999999</c:v>
                </c:pt>
                <c:pt idx="13">
                  <c:v>1370.1089999999999</c:v>
                </c:pt>
                <c:pt idx="14">
                  <c:v>1190.1089999999999</c:v>
                </c:pt>
                <c:pt idx="15">
                  <c:v>1010.109</c:v>
                </c:pt>
                <c:pt idx="16">
                  <c:v>830.10900000000004</c:v>
                </c:pt>
                <c:pt idx="17">
                  <c:v>650.10900000000004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5AB-4961-AC7C-5189C1AC1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3731327"/>
        <c:axId val="2033733247"/>
      </c:scatterChart>
      <c:valAx>
        <c:axId val="2033731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733247"/>
        <c:crosses val="autoZero"/>
        <c:crossBetween val="midCat"/>
      </c:valAx>
      <c:valAx>
        <c:axId val="203373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3731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 sánh thời gian dung lượng'!$E$1</c:f>
              <c:strCache>
                <c:ptCount val="1"/>
                <c:pt idx="0">
                  <c:v>Capacity_first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'So sánh thời gian dung lượng'!$A$2:$A$20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numCache>
            </c:numRef>
          </c:xVal>
          <c:yVal>
            <c:numRef>
              <c:f>'So sánh thời gian dung lượng'!$E$2:$E$20</c:f>
              <c:numCache>
                <c:formatCode>General</c:formatCode>
                <c:ptCount val="19"/>
                <c:pt idx="0">
                  <c:v>1806.01</c:v>
                </c:pt>
                <c:pt idx="1">
                  <c:v>1803.22</c:v>
                </c:pt>
                <c:pt idx="2">
                  <c:v>1800.59</c:v>
                </c:pt>
                <c:pt idx="3">
                  <c:v>1797.61</c:v>
                </c:pt>
                <c:pt idx="4">
                  <c:v>1804.08</c:v>
                </c:pt>
                <c:pt idx="5">
                  <c:v>1803.47</c:v>
                </c:pt>
                <c:pt idx="6">
                  <c:v>1805.57</c:v>
                </c:pt>
                <c:pt idx="7">
                  <c:v>1804.37</c:v>
                </c:pt>
                <c:pt idx="8">
                  <c:v>1802.98</c:v>
                </c:pt>
                <c:pt idx="9">
                  <c:v>1786.53</c:v>
                </c:pt>
                <c:pt idx="10">
                  <c:v>1803.05</c:v>
                </c:pt>
                <c:pt idx="11">
                  <c:v>1804.33</c:v>
                </c:pt>
                <c:pt idx="12">
                  <c:v>1803.92</c:v>
                </c:pt>
                <c:pt idx="13">
                  <c:v>1806.02</c:v>
                </c:pt>
                <c:pt idx="14">
                  <c:v>1803.57</c:v>
                </c:pt>
                <c:pt idx="15">
                  <c:v>1802.16</c:v>
                </c:pt>
                <c:pt idx="16">
                  <c:v>1795.38</c:v>
                </c:pt>
                <c:pt idx="17">
                  <c:v>1805.75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E4-43FF-82B1-73A466236827}"/>
            </c:ext>
          </c:extLst>
        </c:ser>
        <c:ser>
          <c:idx val="1"/>
          <c:order val="1"/>
          <c:tx>
            <c:strRef>
              <c:f>'So sánh thời gian dung lượng'!$J$1</c:f>
              <c:strCache>
                <c:ptCount val="1"/>
                <c:pt idx="0">
                  <c:v>Capacity_mAh_MSCC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'So sánh thời gian dung lượng'!$A$2:$A$20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numCache>
            </c:numRef>
          </c:xVal>
          <c:yVal>
            <c:numRef>
              <c:f>'So sánh thời gian dung lượng'!$J$2:$J$20</c:f>
              <c:numCache>
                <c:formatCode>General</c:formatCode>
                <c:ptCount val="19"/>
                <c:pt idx="0">
                  <c:v>1806.0122088996457</c:v>
                </c:pt>
                <c:pt idx="1">
                  <c:v>1806.0122088996561</c:v>
                </c:pt>
                <c:pt idx="2">
                  <c:v>1806.0122088997471</c:v>
                </c:pt>
                <c:pt idx="3">
                  <c:v>1806.012208899838</c:v>
                </c:pt>
                <c:pt idx="4">
                  <c:v>1806.012208899929</c:v>
                </c:pt>
                <c:pt idx="5">
                  <c:v>1806.0122089000199</c:v>
                </c:pt>
                <c:pt idx="6">
                  <c:v>1806.0122089001109</c:v>
                </c:pt>
                <c:pt idx="7">
                  <c:v>1806.0122089002018</c:v>
                </c:pt>
                <c:pt idx="8">
                  <c:v>1806.0122089002928</c:v>
                </c:pt>
                <c:pt idx="9">
                  <c:v>1806.0122089003837</c:v>
                </c:pt>
                <c:pt idx="10">
                  <c:v>1806.0122089004747</c:v>
                </c:pt>
                <c:pt idx="11">
                  <c:v>1806.0122089005656</c:v>
                </c:pt>
                <c:pt idx="12">
                  <c:v>1806.0122088992418</c:v>
                </c:pt>
                <c:pt idx="13">
                  <c:v>1806.0122088970591</c:v>
                </c:pt>
                <c:pt idx="14">
                  <c:v>1806.0122088948763</c:v>
                </c:pt>
                <c:pt idx="15">
                  <c:v>1806.0122088926935</c:v>
                </c:pt>
                <c:pt idx="16">
                  <c:v>1806.0122088905107</c:v>
                </c:pt>
                <c:pt idx="17">
                  <c:v>1806.0122088883279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E4-43FF-82B1-73A466236827}"/>
            </c:ext>
          </c:extLst>
        </c:ser>
        <c:ser>
          <c:idx val="2"/>
          <c:order val="2"/>
          <c:tx>
            <c:strRef>
              <c:f>'So sánh thời gian dung lượng'!$O$1</c:f>
              <c:strCache>
                <c:ptCount val="1"/>
                <c:pt idx="0">
                  <c:v>Capacity_mAh_CCCV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'So sánh thời gian dung lượng'!$A$2:$A$20</c:f>
              <c:numCache>
                <c:formatCode>General</c:formatCode>
                <c:ptCount val="19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numCache>
            </c:numRef>
          </c:xVal>
          <c:yVal>
            <c:numRef>
              <c:f>'So sánh thời gian dung lượng'!$O$2:$O$20</c:f>
              <c:numCache>
                <c:formatCode>General</c:formatCode>
                <c:ptCount val="19"/>
                <c:pt idx="0">
                  <c:v>1814.6519164702718</c:v>
                </c:pt>
                <c:pt idx="1">
                  <c:v>1814.6519164702549</c:v>
                </c:pt>
                <c:pt idx="2">
                  <c:v>1814.6519164703172</c:v>
                </c:pt>
                <c:pt idx="3">
                  <c:v>1814.6519164704353</c:v>
                </c:pt>
                <c:pt idx="4">
                  <c:v>1814.6519164705535</c:v>
                </c:pt>
                <c:pt idx="5">
                  <c:v>1814.6519164706795</c:v>
                </c:pt>
                <c:pt idx="6">
                  <c:v>1814.651916470792</c:v>
                </c:pt>
                <c:pt idx="7">
                  <c:v>1814.6519164709152</c:v>
                </c:pt>
                <c:pt idx="8">
                  <c:v>1814.6519164710394</c:v>
                </c:pt>
                <c:pt idx="9">
                  <c:v>1814.6519164711528</c:v>
                </c:pt>
                <c:pt idx="10">
                  <c:v>1814.6519164712738</c:v>
                </c:pt>
                <c:pt idx="11">
                  <c:v>1814.6519164713973</c:v>
                </c:pt>
                <c:pt idx="12">
                  <c:v>1814.651916470792</c:v>
                </c:pt>
                <c:pt idx="13">
                  <c:v>1814.6519164697725</c:v>
                </c:pt>
                <c:pt idx="14">
                  <c:v>1814.6519164687627</c:v>
                </c:pt>
                <c:pt idx="15">
                  <c:v>1814.6519164677388</c:v>
                </c:pt>
                <c:pt idx="16">
                  <c:v>1814.6519164667284</c:v>
                </c:pt>
                <c:pt idx="17">
                  <c:v>1814.6519164657047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E4-43FF-82B1-73A466236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0765215"/>
        <c:axId val="1980758495"/>
      </c:scatterChart>
      <c:valAx>
        <c:axId val="1980765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758495"/>
        <c:crosses val="autoZero"/>
        <c:crossBetween val="midCat"/>
      </c:valAx>
      <c:valAx>
        <c:axId val="198075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7652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 sánh thời gian dung lượng'!$C$1</c:f>
              <c:strCache>
                <c:ptCount val="1"/>
                <c:pt idx="0">
                  <c:v>Function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'So sánh thời gian dung lượng'!$A$2:$A$19</c:f>
              <c:numCache>
                <c:formatCode>General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numCache>
            </c:numRef>
          </c:xVal>
          <c:yVal>
            <c:numRef>
              <c:f>'So sánh thời gian dung lượng'!$C$2:$C$19</c:f>
              <c:numCache>
                <c:formatCode>General</c:formatCode>
                <c:ptCount val="18"/>
                <c:pt idx="0">
                  <c:v>0.55620000000000003</c:v>
                </c:pt>
                <c:pt idx="1">
                  <c:v>0.54139999999999999</c:v>
                </c:pt>
                <c:pt idx="2">
                  <c:v>0.52380000000000004</c:v>
                </c:pt>
                <c:pt idx="3">
                  <c:v>0.49869999999999998</c:v>
                </c:pt>
                <c:pt idx="4">
                  <c:v>0.4748</c:v>
                </c:pt>
                <c:pt idx="5">
                  <c:v>0.45610000000000001</c:v>
                </c:pt>
                <c:pt idx="6">
                  <c:v>0.44059999999999999</c:v>
                </c:pt>
                <c:pt idx="7">
                  <c:v>0.42649999999999999</c:v>
                </c:pt>
                <c:pt idx="8">
                  <c:v>0.41049999999999998</c:v>
                </c:pt>
                <c:pt idx="9">
                  <c:v>0.3906</c:v>
                </c:pt>
                <c:pt idx="10">
                  <c:v>0.36930000000000002</c:v>
                </c:pt>
                <c:pt idx="11">
                  <c:v>0.34279999999999999</c:v>
                </c:pt>
                <c:pt idx="12">
                  <c:v>0.32579999999999998</c:v>
                </c:pt>
                <c:pt idx="13">
                  <c:v>0.311</c:v>
                </c:pt>
                <c:pt idx="14">
                  <c:v>0.2964</c:v>
                </c:pt>
                <c:pt idx="15">
                  <c:v>0.28029999999999999</c:v>
                </c:pt>
                <c:pt idx="16">
                  <c:v>0.25790000000000002</c:v>
                </c:pt>
                <c:pt idx="17">
                  <c:v>0.23980000000000001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B0-490C-B520-7730F3560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166992"/>
        <c:axId val="1309174672"/>
      </c:scatterChart>
      <c:valAx>
        <c:axId val="1309166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174672"/>
        <c:crosses val="autoZero"/>
        <c:crossBetween val="midCat"/>
      </c:valAx>
      <c:valAx>
        <c:axId val="130917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166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'% cải thiện'!$M$1</c:f>
              <c:strCache>
                <c:ptCount val="1"/>
                <c:pt idx="0">
                  <c:v>%TimeMSCC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'% cải thiện'!$A$2:$A$19</c:f>
              <c:numCache>
                <c:formatCode>General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numCache>
            </c:numRef>
          </c:xVal>
          <c:yVal>
            <c:numRef>
              <c:f>'% cải thiện'!$M$2:$M$19</c:f>
              <c:numCache>
                <c:formatCode>General</c:formatCode>
                <c:ptCount val="18"/>
                <c:pt idx="0">
                  <c:v>0</c:v>
                </c:pt>
                <c:pt idx="1">
                  <c:v>1.799781165908982</c:v>
                </c:pt>
                <c:pt idx="2">
                  <c:v>3.3775578497254828</c:v>
                </c:pt>
                <c:pt idx="3">
                  <c:v>5.114522643485623</c:v>
                </c:pt>
                <c:pt idx="4">
                  <c:v>1.4646050936579147</c:v>
                </c:pt>
                <c:pt idx="5">
                  <c:v>2.1621308501895395</c:v>
                </c:pt>
                <c:pt idx="6">
                  <c:v>0.46706350282135578</c:v>
                </c:pt>
                <c:pt idx="7">
                  <c:v>1.4104384098847298</c:v>
                </c:pt>
                <c:pt idx="8">
                  <c:v>3.1281361240993935</c:v>
                </c:pt>
                <c:pt idx="9">
                  <c:v>13.847088032359014</c:v>
                </c:pt>
                <c:pt idx="10">
                  <c:v>3.3102589026309199</c:v>
                </c:pt>
                <c:pt idx="11">
                  <c:v>2.3702655624847728</c:v>
                </c:pt>
                <c:pt idx="12">
                  <c:v>3.2148539701349432</c:v>
                </c:pt>
                <c:pt idx="13">
                  <c:v>-0.45609602977104235</c:v>
                </c:pt>
                <c:pt idx="14">
                  <c:v>4.588955336269458</c:v>
                </c:pt>
                <c:pt idx="15">
                  <c:v>8.3380972674074183</c:v>
                </c:pt>
                <c:pt idx="16">
                  <c:v>23.470444577989753</c:v>
                </c:pt>
                <c:pt idx="17">
                  <c:v>0.63943928648541293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EE-45E3-AE2B-D743D37A60CB}"/>
            </c:ext>
          </c:extLst>
        </c:ser>
        <c:ser>
          <c:idx val="1"/>
          <c:order val="1"/>
          <c:tx>
            <c:strRef>
              <c:f>'% cải thiện'!$P$1</c:f>
              <c:strCache>
                <c:ptCount val="1"/>
                <c:pt idx="0">
                  <c:v>%TimeCCCV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'% cải thiện'!$A$2:$A$19</c:f>
              <c:numCache>
                <c:formatCode>General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numCache>
            </c:numRef>
          </c:xVal>
          <c:yVal>
            <c:numRef>
              <c:f>'% cải thiện'!$P$2:$P$19</c:f>
              <c:numCache>
                <c:formatCode>General</c:formatCode>
                <c:ptCount val="18"/>
                <c:pt idx="0">
                  <c:v>1.2942746426048339</c:v>
                </c:pt>
                <c:pt idx="1">
                  <c:v>3.1355689016967987</c:v>
                </c:pt>
                <c:pt idx="2">
                  <c:v>4.7625017574055049</c:v>
                </c:pt>
                <c:pt idx="3">
                  <c:v>6.5517936449503811</c:v>
                </c:pt>
                <c:pt idx="4">
                  <c:v>3.047012667431185</c:v>
                </c:pt>
                <c:pt idx="5">
                  <c:v>3.8339793936818833</c:v>
                </c:pt>
                <c:pt idx="6">
                  <c:v>2.2842779519784058</c:v>
                </c:pt>
                <c:pt idx="7">
                  <c:v>3.3426676119307301</c:v>
                </c:pt>
                <c:pt idx="8">
                  <c:v>5.1772403880166111</c:v>
                </c:pt>
                <c:pt idx="9">
                  <c:v>15.826399484428801</c:v>
                </c:pt>
                <c:pt idx="10">
                  <c:v>5.7409812738435395</c:v>
                </c:pt>
                <c:pt idx="11">
                  <c:v>5.0799689499332068</c:v>
                </c:pt>
                <c:pt idx="12">
                  <c:v>6.2130469534723023</c:v>
                </c:pt>
                <c:pt idx="13">
                  <c:v>3.0646466813954243</c:v>
                </c:pt>
                <c:pt idx="14">
                  <c:v>8.4386388137557038</c:v>
                </c:pt>
                <c:pt idx="15">
                  <c:v>12.695560578115831</c:v>
                </c:pt>
                <c:pt idx="16">
                  <c:v>27.897420700173114</c:v>
                </c:pt>
                <c:pt idx="17">
                  <c:v>7.978508219390906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EE-45E3-AE2B-D743D37A6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7314175"/>
        <c:axId val="1717319935"/>
      </c:scatterChart>
      <c:valAx>
        <c:axId val="1717314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319935"/>
        <c:crosses val="autoZero"/>
        <c:crossBetween val="midCat"/>
      </c:valAx>
      <c:valAx>
        <c:axId val="171731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3141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'% cải thiện'!$N$1</c:f>
              <c:strCache>
                <c:ptCount val="1"/>
                <c:pt idx="0">
                  <c:v>%CapacityMSCC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'% cải thiện'!$A$2:$A$19</c:f>
              <c:numCache>
                <c:formatCode>General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numCache>
            </c:numRef>
          </c:xVal>
          <c:yVal>
            <c:numRef>
              <c:f>'% cải thiện'!$N$2:$N$19</c:f>
              <c:numCache>
                <c:formatCode>General</c:formatCode>
                <c:ptCount val="18"/>
                <c:pt idx="0">
                  <c:v>-1.2230812365392448E-4</c:v>
                </c:pt>
                <c:pt idx="1">
                  <c:v>-0.15460631361718702</c:v>
                </c:pt>
                <c:pt idx="2">
                  <c:v>-0.30023102130912216</c:v>
                </c:pt>
                <c:pt idx="3">
                  <c:v>-0.46523544295176489</c:v>
                </c:pt>
                <c:pt idx="4">
                  <c:v>-0.10698758792477801</c:v>
                </c:pt>
                <c:pt idx="5">
                  <c:v>-0.14076366081535288</c:v>
                </c:pt>
                <c:pt idx="6">
                  <c:v>-2.44853771160406E-2</c:v>
                </c:pt>
                <c:pt idx="7">
                  <c:v>-9.0930110666415126E-2</c:v>
                </c:pt>
                <c:pt idx="8">
                  <c:v>-0.1678952603614513</c:v>
                </c:pt>
                <c:pt idx="9">
                  <c:v>-1.0787418160503885</c:v>
                </c:pt>
                <c:pt idx="10">
                  <c:v>-0.16401931758136568</c:v>
                </c:pt>
                <c:pt idx="11">
                  <c:v>-9.314493513804932E-2</c:v>
                </c:pt>
                <c:pt idx="12">
                  <c:v>-0.11584688569281393</c:v>
                </c:pt>
                <c:pt idx="13">
                  <c:v>4.3139813244595681E-4</c:v>
                </c:pt>
                <c:pt idx="14">
                  <c:v>-0.1352265994021575</c:v>
                </c:pt>
                <c:pt idx="15">
                  <c:v>-0.21329916119754655</c:v>
                </c:pt>
                <c:pt idx="16">
                  <c:v>-0.588711905610111</c:v>
                </c:pt>
                <c:pt idx="17">
                  <c:v>-1.4518666431901075E-2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1F-4D3B-B7E6-4EE31D31937D}"/>
            </c:ext>
          </c:extLst>
        </c:ser>
        <c:ser>
          <c:idx val="1"/>
          <c:order val="1"/>
          <c:tx>
            <c:strRef>
              <c:f>'% cải thiện'!$Q$1</c:f>
              <c:strCache>
                <c:ptCount val="1"/>
                <c:pt idx="0">
                  <c:v>%CapacityCCCV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'% cải thiện'!$A$2:$A$19</c:f>
              <c:numCache>
                <c:formatCode>General</c:formatCode>
                <c:ptCount val="1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</c:numCache>
            </c:numRef>
          </c:xVal>
          <c:yVal>
            <c:numRef>
              <c:f>'% cải thiện'!$Q$2:$Q$19</c:f>
              <c:numCache>
                <c:formatCode>General</c:formatCode>
                <c:ptCount val="18"/>
                <c:pt idx="0">
                  <c:v>-0.47622998062798755</c:v>
                </c:pt>
                <c:pt idx="1">
                  <c:v>-0.62997847501748727</c:v>
                </c:pt>
                <c:pt idx="2">
                  <c:v>-0.77490985145345059</c:v>
                </c:pt>
                <c:pt idx="3">
                  <c:v>-0.93912867342528739</c:v>
                </c:pt>
                <c:pt idx="4">
                  <c:v>-0.58258646601027697</c:v>
                </c:pt>
                <c:pt idx="5">
                  <c:v>-0.6162017282315585</c:v>
                </c:pt>
                <c:pt idx="6">
                  <c:v>-0.5004770550406682</c:v>
                </c:pt>
                <c:pt idx="7">
                  <c:v>-0.56660543973145738</c:v>
                </c:pt>
                <c:pt idx="8">
                  <c:v>-0.64320415199724845</c:v>
                </c:pt>
                <c:pt idx="9">
                  <c:v>-1.5497140920469152</c:v>
                </c:pt>
                <c:pt idx="10">
                  <c:v>-0.6393466629035196</c:v>
                </c:pt>
                <c:pt idx="11">
                  <c:v>-0.56880971924733525</c:v>
                </c:pt>
                <c:pt idx="12">
                  <c:v>-0.5914035839812074</c:v>
                </c:pt>
                <c:pt idx="13">
                  <c:v>-0.47567891072823626</c:v>
                </c:pt>
                <c:pt idx="14">
                  <c:v>-0.61069102940291187</c:v>
                </c:pt>
                <c:pt idx="15">
                  <c:v>-0.68839188135069707</c:v>
                </c:pt>
                <c:pt idx="16">
                  <c:v>-1.0620172547610247</c:v>
                </c:pt>
                <c:pt idx="17">
                  <c:v>-0.49055779705909136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1F-4D3B-B7E6-4EE31D319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509839"/>
        <c:axId val="1343498799"/>
      </c:scatterChart>
      <c:valAx>
        <c:axId val="1343509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498799"/>
        <c:crosses val="autoZero"/>
        <c:crossBetween val="midCat"/>
      </c:valAx>
      <c:valAx>
        <c:axId val="134349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5098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434340</xdr:colOff>
      <xdr:row>21</xdr:row>
      <xdr:rowOff>106680</xdr:rowOff>
    </xdr:from>
    <xdr:to>
      <xdr:col>6</xdr:col>
      <xdr:colOff>15240</xdr:colOff>
      <xdr:row>37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CDA2FB-3F32-420F-9D4E-6CF2DF8686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175260</xdr:colOff>
      <xdr:row>21</xdr:row>
      <xdr:rowOff>91440</xdr:rowOff>
    </xdr:from>
    <xdr:to>
      <xdr:col>12</xdr:col>
      <xdr:colOff>762000</xdr:colOff>
      <xdr:row>37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973373C-05EF-0BB2-07E4-6E4437CBA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83820</xdr:colOff>
      <xdr:row>21</xdr:row>
      <xdr:rowOff>114300</xdr:rowOff>
    </xdr:from>
    <xdr:to>
      <xdr:col>20</xdr:col>
      <xdr:colOff>175260</xdr:colOff>
      <xdr:row>36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EFB1E3-EFD8-7BF4-6E47-CD5A8FF4D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1630680</xdr:colOff>
      <xdr:row>19</xdr:row>
      <xdr:rowOff>175260</xdr:rowOff>
    </xdr:from>
    <xdr:to>
      <xdr:col>7</xdr:col>
      <xdr:colOff>708660</xdr:colOff>
      <xdr:row>34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B4077F-ECC4-625B-DF2B-B6CCF6FE3D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784860</xdr:colOff>
      <xdr:row>20</xdr:row>
      <xdr:rowOff>0</xdr:rowOff>
    </xdr:from>
    <xdr:to>
      <xdr:col>14</xdr:col>
      <xdr:colOff>579120</xdr:colOff>
      <xdr:row>35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E6A9D2E-4AA4-0106-4C9F-BE08DB2CD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opLeftCell="A7" zoomScaleNormal="100" workbookViewId="0">
      <selection activeCell="B17" sqref="B17"/>
    </sheetView>
  </sheetViews>
  <sheetFormatPr defaultRowHeight="14.4" x14ac:dyDescent="0.3"/>
  <cols>
    <col min="1" max="1" width="16.21875" customWidth="1"/>
    <col min="2" max="2" width="37.44140625" customWidth="1"/>
    <col min="3" max="3" width="19.77734375" customWidth="1"/>
    <col min="8" max="8" width="9.5546875" customWidth="1"/>
    <col min="9" max="9" width="12.44140625" customWidth="1"/>
    <col min="10" max="10" width="12.6640625" customWidth="1"/>
    <col min="13" max="13" width="12.5546875" customWidth="1"/>
    <col min="14" max="14" width="12" customWidth="1"/>
  </cols>
  <sheetData>
    <row r="1" spans="1:15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H1" t="s">
        <v>18</v>
      </c>
      <c r="I1" t="s">
        <v>23</v>
      </c>
      <c r="J1" t="s">
        <v>24</v>
      </c>
      <c r="M1" t="s">
        <v>18</v>
      </c>
      <c r="N1" t="s">
        <v>25</v>
      </c>
      <c r="O1" t="s">
        <v>26</v>
      </c>
    </row>
    <row r="2" spans="1:15" x14ac:dyDescent="0.3">
      <c r="A2">
        <v>0</v>
      </c>
      <c r="B2" t="s">
        <v>0</v>
      </c>
      <c r="C2">
        <v>0.55620000000000003</v>
      </c>
      <c r="D2">
        <v>3662.09</v>
      </c>
      <c r="E2">
        <v>1806.01</v>
      </c>
      <c r="H2">
        <v>0</v>
      </c>
      <c r="I2">
        <v>3662.09</v>
      </c>
      <c r="J2">
        <v>1806.0122088996457</v>
      </c>
      <c r="M2">
        <v>0</v>
      </c>
      <c r="N2">
        <v>3710.1089999999999</v>
      </c>
      <c r="O2">
        <v>1814.6519164702718</v>
      </c>
    </row>
    <row r="3" spans="1:15" x14ac:dyDescent="0.3">
      <c r="A3">
        <v>5</v>
      </c>
      <c r="B3" t="s">
        <v>8</v>
      </c>
      <c r="C3">
        <v>0.54139999999999999</v>
      </c>
      <c r="D3">
        <v>3419.42</v>
      </c>
      <c r="E3">
        <v>1803.22</v>
      </c>
      <c r="H3">
        <v>0.05</v>
      </c>
      <c r="I3">
        <v>3482.09</v>
      </c>
      <c r="J3">
        <v>1806.0122088996561</v>
      </c>
      <c r="M3">
        <v>0.05</v>
      </c>
      <c r="N3">
        <v>3530.1089999999999</v>
      </c>
      <c r="O3">
        <v>1814.6519164702549</v>
      </c>
    </row>
    <row r="4" spans="1:15" x14ac:dyDescent="0.3">
      <c r="A4">
        <v>10</v>
      </c>
      <c r="B4" t="s">
        <v>1</v>
      </c>
      <c r="C4">
        <v>0.52380000000000004</v>
      </c>
      <c r="D4">
        <v>3190.56</v>
      </c>
      <c r="E4">
        <v>1800.59</v>
      </c>
      <c r="H4">
        <v>0.1</v>
      </c>
      <c r="I4">
        <v>3302.09</v>
      </c>
      <c r="J4">
        <v>1806.0122088997471</v>
      </c>
      <c r="M4">
        <v>0.1</v>
      </c>
      <c r="N4">
        <v>3350.1089999999999</v>
      </c>
      <c r="O4">
        <v>1814.6519164703172</v>
      </c>
    </row>
    <row r="5" spans="1:15" x14ac:dyDescent="0.3">
      <c r="A5">
        <v>15</v>
      </c>
      <c r="B5" t="s">
        <v>9</v>
      </c>
      <c r="C5">
        <v>0.49869999999999998</v>
      </c>
      <c r="D5">
        <v>2962.41</v>
      </c>
      <c r="E5">
        <v>1797.61</v>
      </c>
      <c r="H5">
        <v>0.15000000000000002</v>
      </c>
      <c r="I5">
        <v>3122.09</v>
      </c>
      <c r="J5">
        <v>1806.012208899838</v>
      </c>
      <c r="M5">
        <v>0.15000000000000002</v>
      </c>
      <c r="N5">
        <v>3170.1089999999999</v>
      </c>
      <c r="O5">
        <v>1814.6519164704353</v>
      </c>
    </row>
    <row r="6" spans="1:15" x14ac:dyDescent="0.3">
      <c r="A6">
        <v>20</v>
      </c>
      <c r="B6" t="s">
        <v>10</v>
      </c>
      <c r="C6">
        <v>0.4748</v>
      </c>
      <c r="D6">
        <v>2899</v>
      </c>
      <c r="E6">
        <v>1804.08</v>
      </c>
      <c r="H6">
        <v>0.2</v>
      </c>
      <c r="I6">
        <v>2942.09</v>
      </c>
      <c r="J6">
        <v>1806.012208899929</v>
      </c>
      <c r="M6">
        <v>0.2</v>
      </c>
      <c r="N6">
        <v>2990.1089999999999</v>
      </c>
      <c r="O6">
        <v>1814.6519164705535</v>
      </c>
    </row>
    <row r="7" spans="1:15" x14ac:dyDescent="0.3">
      <c r="A7">
        <v>25</v>
      </c>
      <c r="B7" t="s">
        <v>11</v>
      </c>
      <c r="C7">
        <v>0.45610000000000001</v>
      </c>
      <c r="D7">
        <v>2702.37</v>
      </c>
      <c r="E7">
        <v>1803.47</v>
      </c>
      <c r="H7">
        <v>0.25</v>
      </c>
      <c r="I7">
        <v>2762.09</v>
      </c>
      <c r="J7">
        <v>1806.0122089000199</v>
      </c>
      <c r="M7">
        <v>0.25</v>
      </c>
      <c r="N7">
        <v>2810.1089999999999</v>
      </c>
      <c r="O7">
        <v>1814.6519164706795</v>
      </c>
    </row>
    <row r="8" spans="1:15" x14ac:dyDescent="0.3">
      <c r="A8">
        <v>30</v>
      </c>
      <c r="B8" t="s">
        <v>2</v>
      </c>
      <c r="C8">
        <v>0.44059999999999999</v>
      </c>
      <c r="D8">
        <v>2570.0300000000002</v>
      </c>
      <c r="E8">
        <v>1805.57</v>
      </c>
      <c r="H8">
        <v>0.30000000000000004</v>
      </c>
      <c r="I8">
        <v>2582.09</v>
      </c>
      <c r="J8">
        <v>1806.0122089001109</v>
      </c>
      <c r="M8">
        <v>0.30000000000000004</v>
      </c>
      <c r="N8">
        <v>2630.1089999999999</v>
      </c>
      <c r="O8">
        <v>1814.651916470792</v>
      </c>
    </row>
    <row r="9" spans="1:15" x14ac:dyDescent="0.3">
      <c r="A9">
        <v>35</v>
      </c>
      <c r="B9" t="s">
        <v>12</v>
      </c>
      <c r="C9">
        <v>0.42649999999999999</v>
      </c>
      <c r="D9">
        <v>2368.21</v>
      </c>
      <c r="E9">
        <v>1804.37</v>
      </c>
      <c r="H9">
        <v>0.35000000000000003</v>
      </c>
      <c r="I9">
        <v>2402.09</v>
      </c>
      <c r="J9">
        <v>1806.0122089002018</v>
      </c>
      <c r="M9">
        <v>0.35000000000000003</v>
      </c>
      <c r="N9">
        <v>2450.1089999999999</v>
      </c>
      <c r="O9">
        <v>1814.6519164709152</v>
      </c>
    </row>
    <row r="10" spans="1:15" x14ac:dyDescent="0.3">
      <c r="A10">
        <v>40</v>
      </c>
      <c r="B10" t="s">
        <v>3</v>
      </c>
      <c r="C10">
        <v>0.41049999999999998</v>
      </c>
      <c r="D10">
        <v>2152.58</v>
      </c>
      <c r="E10">
        <v>1802.98</v>
      </c>
      <c r="H10">
        <v>0.4</v>
      </c>
      <c r="I10">
        <v>2222.09</v>
      </c>
      <c r="J10">
        <v>1806.0122089002928</v>
      </c>
      <c r="M10">
        <v>0.4</v>
      </c>
      <c r="N10">
        <v>2270.1089999999999</v>
      </c>
      <c r="O10">
        <v>1814.6519164710394</v>
      </c>
    </row>
    <row r="11" spans="1:15" x14ac:dyDescent="0.3">
      <c r="A11">
        <v>45</v>
      </c>
      <c r="B11" t="s">
        <v>13</v>
      </c>
      <c r="C11">
        <v>0.3906</v>
      </c>
      <c r="D11">
        <v>1759.32</v>
      </c>
      <c r="E11">
        <v>1786.53</v>
      </c>
      <c r="H11">
        <v>0.45</v>
      </c>
      <c r="I11">
        <v>2042.0900000000001</v>
      </c>
      <c r="J11">
        <v>1806.0122089003837</v>
      </c>
      <c r="M11">
        <v>0.45</v>
      </c>
      <c r="N11">
        <v>2090.1089999999999</v>
      </c>
      <c r="O11">
        <v>1814.6519164711528</v>
      </c>
    </row>
    <row r="12" spans="1:15" x14ac:dyDescent="0.3">
      <c r="A12">
        <v>50</v>
      </c>
      <c r="B12" t="s">
        <v>4</v>
      </c>
      <c r="C12">
        <v>0.36930000000000002</v>
      </c>
      <c r="D12">
        <v>1800.45</v>
      </c>
      <c r="E12">
        <v>1803.05</v>
      </c>
      <c r="H12">
        <v>0.5</v>
      </c>
      <c r="I12">
        <v>1862.0900000000001</v>
      </c>
      <c r="J12">
        <v>1806.0122089004747</v>
      </c>
      <c r="M12">
        <v>0.5</v>
      </c>
      <c r="N12">
        <v>1910.1090000000002</v>
      </c>
      <c r="O12">
        <v>1814.6519164712738</v>
      </c>
    </row>
    <row r="13" spans="1:15" x14ac:dyDescent="0.3">
      <c r="A13">
        <v>55</v>
      </c>
      <c r="B13" t="s">
        <v>14</v>
      </c>
      <c r="C13">
        <v>0.34279999999999999</v>
      </c>
      <c r="D13">
        <v>1642.22</v>
      </c>
      <c r="E13">
        <v>1804.33</v>
      </c>
      <c r="H13">
        <v>0.55000000000000004</v>
      </c>
      <c r="I13">
        <v>1682.0900000000001</v>
      </c>
      <c r="J13">
        <v>1806.0122089005656</v>
      </c>
      <c r="M13">
        <v>0.55000000000000004</v>
      </c>
      <c r="N13">
        <v>1730.1089999999999</v>
      </c>
      <c r="O13">
        <v>1814.6519164713973</v>
      </c>
    </row>
    <row r="14" spans="1:15" x14ac:dyDescent="0.3">
      <c r="A14">
        <v>60</v>
      </c>
      <c r="B14" t="s">
        <v>5</v>
      </c>
      <c r="C14">
        <v>0.32579999999999998</v>
      </c>
      <c r="D14">
        <v>1453.8</v>
      </c>
      <c r="E14">
        <v>1803.92</v>
      </c>
      <c r="H14">
        <v>0.6</v>
      </c>
      <c r="I14">
        <v>1502.09</v>
      </c>
      <c r="J14">
        <v>1806.0122088992418</v>
      </c>
      <c r="M14">
        <v>0.6</v>
      </c>
      <c r="N14">
        <v>1550.1089999999999</v>
      </c>
      <c r="O14">
        <v>1814.651916470792</v>
      </c>
    </row>
    <row r="15" spans="1:15" x14ac:dyDescent="0.3">
      <c r="A15">
        <v>65</v>
      </c>
      <c r="B15" t="s">
        <v>15</v>
      </c>
      <c r="C15">
        <v>0.311</v>
      </c>
      <c r="D15">
        <v>1328.12</v>
      </c>
      <c r="E15">
        <v>1806.02</v>
      </c>
      <c r="H15">
        <v>0.65</v>
      </c>
      <c r="I15">
        <v>1322.09</v>
      </c>
      <c r="J15">
        <v>1806.0122088970591</v>
      </c>
      <c r="M15">
        <v>0.65</v>
      </c>
      <c r="N15">
        <v>1370.1089999999999</v>
      </c>
      <c r="O15">
        <v>1814.6519164697725</v>
      </c>
    </row>
    <row r="16" spans="1:15" x14ac:dyDescent="0.3">
      <c r="A16">
        <v>70</v>
      </c>
      <c r="B16" t="s">
        <v>6</v>
      </c>
      <c r="C16">
        <v>0.2964</v>
      </c>
      <c r="D16">
        <v>1089.68</v>
      </c>
      <c r="E16">
        <v>1803.57</v>
      </c>
      <c r="H16">
        <v>0.7</v>
      </c>
      <c r="I16">
        <v>1142.0899999999999</v>
      </c>
      <c r="J16">
        <v>1806.0122088948763</v>
      </c>
      <c r="M16">
        <v>0.7</v>
      </c>
      <c r="N16">
        <v>1190.1089999999999</v>
      </c>
      <c r="O16">
        <v>1814.6519164687627</v>
      </c>
    </row>
    <row r="17" spans="1:15" x14ac:dyDescent="0.3">
      <c r="A17">
        <v>75</v>
      </c>
      <c r="B17" t="s">
        <v>16</v>
      </c>
      <c r="C17">
        <v>0.28029999999999999</v>
      </c>
      <c r="D17">
        <v>881.87</v>
      </c>
      <c r="E17">
        <v>1802.16</v>
      </c>
      <c r="H17">
        <v>0.75</v>
      </c>
      <c r="I17">
        <v>962.09</v>
      </c>
      <c r="J17">
        <v>1806.0122088926935</v>
      </c>
      <c r="M17">
        <v>0.75</v>
      </c>
      <c r="N17">
        <v>1010.109</v>
      </c>
      <c r="O17">
        <v>1814.6519164677388</v>
      </c>
    </row>
    <row r="18" spans="1:15" x14ac:dyDescent="0.3">
      <c r="A18">
        <v>80</v>
      </c>
      <c r="B18" t="s">
        <v>7</v>
      </c>
      <c r="C18">
        <v>0.25790000000000002</v>
      </c>
      <c r="D18">
        <v>598.53</v>
      </c>
      <c r="E18">
        <v>1795.38</v>
      </c>
      <c r="H18">
        <v>0.8</v>
      </c>
      <c r="I18">
        <v>782.09</v>
      </c>
      <c r="J18">
        <v>1806.0122088905107</v>
      </c>
      <c r="M18">
        <v>0.8</v>
      </c>
      <c r="N18">
        <v>830.10900000000004</v>
      </c>
      <c r="O18">
        <v>1814.6519164667284</v>
      </c>
    </row>
    <row r="19" spans="1:15" x14ac:dyDescent="0.3">
      <c r="A19">
        <v>85</v>
      </c>
      <c r="B19" t="s">
        <v>17</v>
      </c>
      <c r="C19">
        <v>0.23980000000000001</v>
      </c>
      <c r="D19">
        <v>598.24</v>
      </c>
      <c r="E19">
        <v>1805.75</v>
      </c>
      <c r="H19">
        <v>0.85</v>
      </c>
      <c r="I19">
        <v>602.09</v>
      </c>
      <c r="J19">
        <v>1806.0122088883279</v>
      </c>
      <c r="M19">
        <v>0.85</v>
      </c>
      <c r="N19">
        <v>650.10900000000004</v>
      </c>
      <c r="O19">
        <v>1814.6519164657047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C5E0E-0671-4204-BBE7-9CDB3102C3F0}">
  <dimension ref="A1:Q19"/>
  <sheetViews>
    <sheetView tabSelected="1" topLeftCell="A11" workbookViewId="0">
      <selection activeCell="Q26" sqref="Q26"/>
    </sheetView>
  </sheetViews>
  <sheetFormatPr defaultRowHeight="14.4" x14ac:dyDescent="0.3"/>
  <cols>
    <col min="1" max="1" width="16.21875" customWidth="1"/>
    <col min="2" max="2" width="32.21875" customWidth="1"/>
    <col min="3" max="3" width="8.77734375" customWidth="1"/>
    <col min="7" max="7" width="12.44140625" customWidth="1"/>
    <col min="8" max="8" width="12.6640625" customWidth="1"/>
    <col min="10" max="10" width="12" customWidth="1"/>
    <col min="14" max="14" width="9.44140625" customWidth="1"/>
  </cols>
  <sheetData>
    <row r="1" spans="1:17" s="1" customFormat="1" ht="43.2" x14ac:dyDescent="0.3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G1" s="1" t="s">
        <v>23</v>
      </c>
      <c r="H1" s="1" t="s">
        <v>24</v>
      </c>
      <c r="J1" s="1" t="s">
        <v>25</v>
      </c>
      <c r="K1" s="1" t="s">
        <v>26</v>
      </c>
      <c r="M1" s="1" t="s">
        <v>27</v>
      </c>
      <c r="N1" s="1" t="s">
        <v>28</v>
      </c>
      <c r="P1" s="1" t="s">
        <v>29</v>
      </c>
      <c r="Q1" s="1" t="s">
        <v>30</v>
      </c>
    </row>
    <row r="2" spans="1:17" x14ac:dyDescent="0.3">
      <c r="A2">
        <v>0</v>
      </c>
      <c r="B2" t="s">
        <v>0</v>
      </c>
      <c r="C2">
        <v>0.55620000000000003</v>
      </c>
      <c r="D2">
        <v>3662.09</v>
      </c>
      <c r="E2">
        <v>1806.01</v>
      </c>
      <c r="G2">
        <v>3662.09</v>
      </c>
      <c r="H2">
        <v>1806.0122088996457</v>
      </c>
      <c r="J2">
        <v>3710.1089999999999</v>
      </c>
      <c r="K2">
        <v>1814.6519164702718</v>
      </c>
      <c r="M2">
        <f>(G2-D2)/G2*100</f>
        <v>0</v>
      </c>
      <c r="N2">
        <f>(-H2+E2)/H2*100</f>
        <v>-1.2230812365392448E-4</v>
      </c>
      <c r="P2">
        <f>(J2-D2)/J2*100</f>
        <v>1.2942746426048339</v>
      </c>
      <c r="Q2">
        <f>(E2-K2)/K2*100</f>
        <v>-0.47622998062798755</v>
      </c>
    </row>
    <row r="3" spans="1:17" x14ac:dyDescent="0.3">
      <c r="A3">
        <v>5</v>
      </c>
      <c r="B3" t="s">
        <v>8</v>
      </c>
      <c r="C3">
        <v>0.54139999999999999</v>
      </c>
      <c r="D3">
        <v>3419.42</v>
      </c>
      <c r="E3">
        <v>1803.22</v>
      </c>
      <c r="G3">
        <v>3482.09</v>
      </c>
      <c r="H3">
        <v>1806.0122088996561</v>
      </c>
      <c r="J3">
        <v>3530.1089999999999</v>
      </c>
      <c r="K3">
        <v>1814.6519164702549</v>
      </c>
      <c r="M3">
        <f>(G3-D3)/G3*100</f>
        <v>1.799781165908982</v>
      </c>
      <c r="N3">
        <f t="shared" ref="N3:N19" si="0">(-H3+E3)/H3*100</f>
        <v>-0.15460631361718702</v>
      </c>
      <c r="P3">
        <f t="shared" ref="P3:P19" si="1">(J3-D3)/J3*100</f>
        <v>3.1355689016967987</v>
      </c>
      <c r="Q3">
        <f t="shared" ref="Q3:Q19" si="2">(E3-K3)/K3*100</f>
        <v>-0.62997847501748727</v>
      </c>
    </row>
    <row r="4" spans="1:17" x14ac:dyDescent="0.3">
      <c r="A4">
        <v>10</v>
      </c>
      <c r="B4" t="s">
        <v>1</v>
      </c>
      <c r="C4">
        <v>0.52380000000000004</v>
      </c>
      <c r="D4">
        <v>3190.56</v>
      </c>
      <c r="E4">
        <v>1800.59</v>
      </c>
      <c r="G4">
        <v>3302.09</v>
      </c>
      <c r="H4">
        <v>1806.0122088997471</v>
      </c>
      <c r="J4">
        <v>3350.1089999999999</v>
      </c>
      <c r="K4">
        <v>1814.6519164703172</v>
      </c>
      <c r="M4">
        <f>(G4-D4)/G4*100</f>
        <v>3.3775578497254828</v>
      </c>
      <c r="N4">
        <f t="shared" si="0"/>
        <v>-0.30023102130912216</v>
      </c>
      <c r="P4">
        <f t="shared" si="1"/>
        <v>4.7625017574055049</v>
      </c>
      <c r="Q4">
        <f t="shared" si="2"/>
        <v>-0.77490985145345059</v>
      </c>
    </row>
    <row r="5" spans="1:17" x14ac:dyDescent="0.3">
      <c r="A5">
        <v>15</v>
      </c>
      <c r="B5" t="s">
        <v>9</v>
      </c>
      <c r="C5">
        <v>0.49869999999999998</v>
      </c>
      <c r="D5">
        <v>2962.41</v>
      </c>
      <c r="E5">
        <v>1797.61</v>
      </c>
      <c r="G5">
        <v>3122.09</v>
      </c>
      <c r="H5">
        <v>1806.012208899838</v>
      </c>
      <c r="J5">
        <v>3170.1089999999999</v>
      </c>
      <c r="K5">
        <v>1814.6519164704353</v>
      </c>
      <c r="M5">
        <f t="shared" ref="M5:M19" si="3">(G5-D5)/G5*100</f>
        <v>5.114522643485623</v>
      </c>
      <c r="N5">
        <f t="shared" si="0"/>
        <v>-0.46523544295176489</v>
      </c>
      <c r="P5">
        <f t="shared" si="1"/>
        <v>6.5517936449503811</v>
      </c>
      <c r="Q5">
        <f t="shared" si="2"/>
        <v>-0.93912867342528739</v>
      </c>
    </row>
    <row r="6" spans="1:17" x14ac:dyDescent="0.3">
      <c r="A6">
        <v>20</v>
      </c>
      <c r="B6" t="s">
        <v>10</v>
      </c>
      <c r="C6">
        <v>0.4748</v>
      </c>
      <c r="D6">
        <v>2899</v>
      </c>
      <c r="E6">
        <v>1804.08</v>
      </c>
      <c r="G6">
        <v>2942.09</v>
      </c>
      <c r="H6">
        <v>1806.012208899929</v>
      </c>
      <c r="J6">
        <v>2990.1089999999999</v>
      </c>
      <c r="K6">
        <v>1814.6519164705535</v>
      </c>
      <c r="M6">
        <f t="shared" si="3"/>
        <v>1.4646050936579147</v>
      </c>
      <c r="N6">
        <f t="shared" si="0"/>
        <v>-0.10698758792477801</v>
      </c>
      <c r="P6">
        <f t="shared" si="1"/>
        <v>3.047012667431185</v>
      </c>
      <c r="Q6">
        <f t="shared" si="2"/>
        <v>-0.58258646601027697</v>
      </c>
    </row>
    <row r="7" spans="1:17" x14ac:dyDescent="0.3">
      <c r="A7">
        <v>25</v>
      </c>
      <c r="B7" t="s">
        <v>11</v>
      </c>
      <c r="C7">
        <v>0.45610000000000001</v>
      </c>
      <c r="D7">
        <v>2702.37</v>
      </c>
      <c r="E7">
        <v>1803.47</v>
      </c>
      <c r="G7">
        <v>2762.09</v>
      </c>
      <c r="H7">
        <v>1806.0122089000199</v>
      </c>
      <c r="J7">
        <v>2810.1089999999999</v>
      </c>
      <c r="K7">
        <v>1814.6519164706795</v>
      </c>
      <c r="M7">
        <f t="shared" si="3"/>
        <v>2.1621308501895395</v>
      </c>
      <c r="N7">
        <f t="shared" si="0"/>
        <v>-0.14076366081535288</v>
      </c>
      <c r="P7">
        <f t="shared" si="1"/>
        <v>3.8339793936818833</v>
      </c>
      <c r="Q7">
        <f t="shared" si="2"/>
        <v>-0.6162017282315585</v>
      </c>
    </row>
    <row r="8" spans="1:17" x14ac:dyDescent="0.3">
      <c r="A8">
        <v>30</v>
      </c>
      <c r="B8" t="s">
        <v>2</v>
      </c>
      <c r="C8">
        <v>0.44059999999999999</v>
      </c>
      <c r="D8">
        <v>2570.0300000000002</v>
      </c>
      <c r="E8">
        <v>1805.57</v>
      </c>
      <c r="G8">
        <v>2582.09</v>
      </c>
      <c r="H8">
        <v>1806.0122089001109</v>
      </c>
      <c r="J8">
        <v>2630.1089999999999</v>
      </c>
      <c r="K8">
        <v>1814.651916470792</v>
      </c>
      <c r="M8">
        <f t="shared" si="3"/>
        <v>0.46706350282135578</v>
      </c>
      <c r="N8">
        <f t="shared" si="0"/>
        <v>-2.44853771160406E-2</v>
      </c>
      <c r="P8">
        <f t="shared" si="1"/>
        <v>2.2842779519784058</v>
      </c>
      <c r="Q8">
        <f t="shared" si="2"/>
        <v>-0.5004770550406682</v>
      </c>
    </row>
    <row r="9" spans="1:17" x14ac:dyDescent="0.3">
      <c r="A9">
        <v>35</v>
      </c>
      <c r="B9" t="s">
        <v>12</v>
      </c>
      <c r="C9">
        <v>0.42649999999999999</v>
      </c>
      <c r="D9">
        <v>2368.21</v>
      </c>
      <c r="E9">
        <v>1804.37</v>
      </c>
      <c r="G9">
        <v>2402.09</v>
      </c>
      <c r="H9">
        <v>1806.0122089002018</v>
      </c>
      <c r="J9">
        <v>2450.1089999999999</v>
      </c>
      <c r="K9">
        <v>1814.6519164709152</v>
      </c>
      <c r="M9">
        <f t="shared" si="3"/>
        <v>1.4104384098847298</v>
      </c>
      <c r="N9">
        <f t="shared" si="0"/>
        <v>-9.0930110666415126E-2</v>
      </c>
      <c r="P9">
        <f t="shared" si="1"/>
        <v>3.3426676119307301</v>
      </c>
      <c r="Q9">
        <f t="shared" si="2"/>
        <v>-0.56660543973145738</v>
      </c>
    </row>
    <row r="10" spans="1:17" x14ac:dyDescent="0.3">
      <c r="A10">
        <v>40</v>
      </c>
      <c r="B10" t="s">
        <v>3</v>
      </c>
      <c r="C10">
        <v>0.41049999999999998</v>
      </c>
      <c r="D10">
        <v>2152.58</v>
      </c>
      <c r="E10">
        <v>1802.98</v>
      </c>
      <c r="G10">
        <v>2222.09</v>
      </c>
      <c r="H10">
        <v>1806.0122089002928</v>
      </c>
      <c r="J10">
        <v>2270.1089999999999</v>
      </c>
      <c r="K10">
        <v>1814.6519164710394</v>
      </c>
      <c r="M10">
        <f t="shared" si="3"/>
        <v>3.1281361240993935</v>
      </c>
      <c r="N10">
        <f t="shared" si="0"/>
        <v>-0.1678952603614513</v>
      </c>
      <c r="P10">
        <f t="shared" si="1"/>
        <v>5.1772403880166111</v>
      </c>
      <c r="Q10">
        <f t="shared" si="2"/>
        <v>-0.64320415199724845</v>
      </c>
    </row>
    <row r="11" spans="1:17" x14ac:dyDescent="0.3">
      <c r="A11">
        <v>45</v>
      </c>
      <c r="B11" t="s">
        <v>13</v>
      </c>
      <c r="C11">
        <v>0.3906</v>
      </c>
      <c r="D11">
        <v>1759.32</v>
      </c>
      <c r="E11">
        <v>1786.53</v>
      </c>
      <c r="G11">
        <v>2042.0900000000001</v>
      </c>
      <c r="H11">
        <v>1806.0122089003837</v>
      </c>
      <c r="J11">
        <v>2090.1089999999999</v>
      </c>
      <c r="K11">
        <v>1814.6519164711528</v>
      </c>
      <c r="M11">
        <f t="shared" si="3"/>
        <v>13.847088032359014</v>
      </c>
      <c r="N11">
        <f t="shared" si="0"/>
        <v>-1.0787418160503885</v>
      </c>
      <c r="P11">
        <f t="shared" si="1"/>
        <v>15.826399484428801</v>
      </c>
      <c r="Q11">
        <f t="shared" si="2"/>
        <v>-1.5497140920469152</v>
      </c>
    </row>
    <row r="12" spans="1:17" x14ac:dyDescent="0.3">
      <c r="A12">
        <v>50</v>
      </c>
      <c r="B12" t="s">
        <v>4</v>
      </c>
      <c r="C12">
        <v>0.36930000000000002</v>
      </c>
      <c r="D12">
        <v>1800.45</v>
      </c>
      <c r="E12">
        <v>1803.05</v>
      </c>
      <c r="G12">
        <v>1862.0900000000001</v>
      </c>
      <c r="H12">
        <v>1806.0122089004747</v>
      </c>
      <c r="J12">
        <v>1910.1090000000002</v>
      </c>
      <c r="K12">
        <v>1814.6519164712738</v>
      </c>
      <c r="M12">
        <f t="shared" si="3"/>
        <v>3.3102589026309199</v>
      </c>
      <c r="N12">
        <f t="shared" si="0"/>
        <v>-0.16401931758136568</v>
      </c>
      <c r="P12">
        <f t="shared" si="1"/>
        <v>5.7409812738435395</v>
      </c>
      <c r="Q12">
        <f t="shared" si="2"/>
        <v>-0.6393466629035196</v>
      </c>
    </row>
    <row r="13" spans="1:17" x14ac:dyDescent="0.3">
      <c r="A13">
        <v>55</v>
      </c>
      <c r="B13" t="s">
        <v>14</v>
      </c>
      <c r="C13">
        <v>0.34279999999999999</v>
      </c>
      <c r="D13">
        <v>1642.22</v>
      </c>
      <c r="E13">
        <v>1804.33</v>
      </c>
      <c r="G13">
        <v>1682.0900000000001</v>
      </c>
      <c r="H13">
        <v>1806.0122089005656</v>
      </c>
      <c r="J13">
        <v>1730.1089999999999</v>
      </c>
      <c r="K13">
        <v>1814.6519164713973</v>
      </c>
      <c r="M13">
        <f t="shared" si="3"/>
        <v>2.3702655624847728</v>
      </c>
      <c r="N13">
        <f t="shared" si="0"/>
        <v>-9.314493513804932E-2</v>
      </c>
      <c r="P13">
        <f t="shared" si="1"/>
        <v>5.0799689499332068</v>
      </c>
      <c r="Q13">
        <f t="shared" si="2"/>
        <v>-0.56880971924733525</v>
      </c>
    </row>
    <row r="14" spans="1:17" x14ac:dyDescent="0.3">
      <c r="A14">
        <v>60</v>
      </c>
      <c r="B14" t="s">
        <v>5</v>
      </c>
      <c r="C14">
        <v>0.32579999999999998</v>
      </c>
      <c r="D14">
        <v>1453.8</v>
      </c>
      <c r="E14">
        <v>1803.92</v>
      </c>
      <c r="G14">
        <v>1502.09</v>
      </c>
      <c r="H14">
        <v>1806.0122088992418</v>
      </c>
      <c r="J14">
        <v>1550.1089999999999</v>
      </c>
      <c r="K14">
        <v>1814.651916470792</v>
      </c>
      <c r="M14">
        <f t="shared" si="3"/>
        <v>3.2148539701349432</v>
      </c>
      <c r="N14">
        <f t="shared" si="0"/>
        <v>-0.11584688569281393</v>
      </c>
      <c r="P14">
        <f t="shared" si="1"/>
        <v>6.2130469534723023</v>
      </c>
      <c r="Q14">
        <f t="shared" si="2"/>
        <v>-0.5914035839812074</v>
      </c>
    </row>
    <row r="15" spans="1:17" x14ac:dyDescent="0.3">
      <c r="A15">
        <v>65</v>
      </c>
      <c r="B15" t="s">
        <v>15</v>
      </c>
      <c r="C15">
        <v>0.311</v>
      </c>
      <c r="D15">
        <v>1328.12</v>
      </c>
      <c r="E15">
        <v>1806.02</v>
      </c>
      <c r="G15">
        <v>1322.09</v>
      </c>
      <c r="H15">
        <v>1806.0122088970591</v>
      </c>
      <c r="J15">
        <v>1370.1089999999999</v>
      </c>
      <c r="K15">
        <v>1814.6519164697725</v>
      </c>
      <c r="M15">
        <f t="shared" si="3"/>
        <v>-0.45609602977104235</v>
      </c>
      <c r="N15">
        <f t="shared" si="0"/>
        <v>4.3139813244595681E-4</v>
      </c>
      <c r="P15">
        <f>(J15-D15)/J15*100</f>
        <v>3.0646466813954243</v>
      </c>
      <c r="Q15">
        <f t="shared" si="2"/>
        <v>-0.47567891072823626</v>
      </c>
    </row>
    <row r="16" spans="1:17" x14ac:dyDescent="0.3">
      <c r="A16">
        <v>70</v>
      </c>
      <c r="B16" t="s">
        <v>6</v>
      </c>
      <c r="C16">
        <v>0.2964</v>
      </c>
      <c r="D16">
        <v>1089.68</v>
      </c>
      <c r="E16">
        <v>1803.57</v>
      </c>
      <c r="G16">
        <v>1142.0899999999999</v>
      </c>
      <c r="H16">
        <v>1806.0122088948763</v>
      </c>
      <c r="J16">
        <v>1190.1089999999999</v>
      </c>
      <c r="K16">
        <v>1814.6519164687627</v>
      </c>
      <c r="M16">
        <f t="shared" si="3"/>
        <v>4.588955336269458</v>
      </c>
      <c r="N16">
        <f t="shared" si="0"/>
        <v>-0.1352265994021575</v>
      </c>
      <c r="P16">
        <f t="shared" si="1"/>
        <v>8.4386388137557038</v>
      </c>
      <c r="Q16">
        <f t="shared" si="2"/>
        <v>-0.61069102940291187</v>
      </c>
    </row>
    <row r="17" spans="1:17" x14ac:dyDescent="0.3">
      <c r="A17">
        <v>75</v>
      </c>
      <c r="B17" t="s">
        <v>16</v>
      </c>
      <c r="C17">
        <v>0.28029999999999999</v>
      </c>
      <c r="D17">
        <v>881.87</v>
      </c>
      <c r="E17">
        <v>1802.16</v>
      </c>
      <c r="G17">
        <v>962.09</v>
      </c>
      <c r="H17">
        <v>1806.0122088926935</v>
      </c>
      <c r="J17">
        <v>1010.109</v>
      </c>
      <c r="K17">
        <v>1814.6519164677388</v>
      </c>
      <c r="M17">
        <f t="shared" si="3"/>
        <v>8.3380972674074183</v>
      </c>
      <c r="N17">
        <f t="shared" si="0"/>
        <v>-0.21329916119754655</v>
      </c>
      <c r="P17">
        <f t="shared" si="1"/>
        <v>12.695560578115831</v>
      </c>
      <c r="Q17">
        <f t="shared" si="2"/>
        <v>-0.68839188135069707</v>
      </c>
    </row>
    <row r="18" spans="1:17" x14ac:dyDescent="0.3">
      <c r="A18">
        <v>80</v>
      </c>
      <c r="B18" t="s">
        <v>7</v>
      </c>
      <c r="C18">
        <v>0.25790000000000002</v>
      </c>
      <c r="D18">
        <v>598.53</v>
      </c>
      <c r="E18">
        <v>1795.38</v>
      </c>
      <c r="G18">
        <v>782.09</v>
      </c>
      <c r="H18">
        <v>1806.0122088905107</v>
      </c>
      <c r="J18">
        <v>830.10900000000004</v>
      </c>
      <c r="K18">
        <v>1814.6519164667284</v>
      </c>
      <c r="M18">
        <f t="shared" si="3"/>
        <v>23.470444577989753</v>
      </c>
      <c r="N18">
        <f t="shared" si="0"/>
        <v>-0.588711905610111</v>
      </c>
      <c r="P18">
        <f t="shared" si="1"/>
        <v>27.897420700173114</v>
      </c>
      <c r="Q18">
        <f t="shared" si="2"/>
        <v>-1.0620172547610247</v>
      </c>
    </row>
    <row r="19" spans="1:17" x14ac:dyDescent="0.3">
      <c r="A19">
        <v>85</v>
      </c>
      <c r="B19" t="s">
        <v>17</v>
      </c>
      <c r="C19">
        <v>0.23980000000000001</v>
      </c>
      <c r="D19">
        <v>598.24</v>
      </c>
      <c r="E19">
        <v>1805.75</v>
      </c>
      <c r="G19">
        <v>602.09</v>
      </c>
      <c r="H19">
        <v>1806.0122088883279</v>
      </c>
      <c r="J19">
        <v>650.10900000000004</v>
      </c>
      <c r="K19">
        <v>1814.6519164657047</v>
      </c>
      <c r="M19">
        <f t="shared" si="3"/>
        <v>0.63943928648541293</v>
      </c>
      <c r="N19">
        <f t="shared" si="0"/>
        <v>-1.4518666431901075E-2</v>
      </c>
      <c r="P19">
        <f t="shared" si="1"/>
        <v>7.978508219390906</v>
      </c>
      <c r="Q19">
        <f t="shared" si="2"/>
        <v>-0.49055779705909136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 sánh thời gian dung lượng</vt:lpstr>
      <vt:lpstr>% cải thiện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OCEAN</dc:creator>
  <cp:lastModifiedBy>Hoang Dai Duong 20212738</cp:lastModifiedBy>
  <dcterms:created xsi:type="dcterms:W3CDTF">2015-06-05T18:17:20Z</dcterms:created>
  <dcterms:modified xsi:type="dcterms:W3CDTF">2025-08-30T12:44:02Z</dcterms:modified>
</cp:coreProperties>
</file>