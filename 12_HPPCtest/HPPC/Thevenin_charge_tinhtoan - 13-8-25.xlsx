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HPPC/"/>
    </mc:Choice>
  </mc:AlternateContent>
  <xr:revisionPtr revIDLastSave="2" documentId="13_ncr:1_{494E4CA3-CE09-4638-A55C-9E2053607F00}" xr6:coauthVersionLast="47" xr6:coauthVersionMax="47" xr10:uidLastSave="{4E6AFA6B-E5BD-4D36-9E2A-16E2071A5F89}"/>
  <bookViews>
    <workbookView xWindow="31995" yWindow="3390" windowWidth="21600" windowHeight="11775" activeTab="1" xr2:uid="{407859F8-3430-4DD2-BA6A-3F0375BE2B5C}"/>
  </bookViews>
  <sheets>
    <sheet name="9 cells" sheetId="1" r:id="rId1"/>
    <sheet name="cell 2" sheetId="3" r:id="rId2"/>
    <sheet name="cell 1" sheetId="2" r:id="rId3"/>
    <sheet name="cell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3" l="1"/>
  <c r="I8" i="3"/>
  <c r="H2" i="3"/>
  <c r="J2" i="3" s="1"/>
  <c r="I2" i="3"/>
  <c r="H3" i="3"/>
  <c r="J3" i="3" s="1"/>
  <c r="K3" i="3" s="1"/>
  <c r="I3" i="3"/>
  <c r="H9" i="1"/>
  <c r="J9" i="1" s="1"/>
  <c r="I22" i="4"/>
  <c r="H22" i="4"/>
  <c r="J20" i="4"/>
  <c r="K20" i="4" s="1"/>
  <c r="I20" i="4"/>
  <c r="H20" i="4"/>
  <c r="K18" i="4"/>
  <c r="J18" i="4"/>
  <c r="I18" i="4"/>
  <c r="H18" i="4"/>
  <c r="J16" i="4"/>
  <c r="K16" i="4" s="1"/>
  <c r="I16" i="4"/>
  <c r="H16" i="4"/>
  <c r="J14" i="4"/>
  <c r="K14" i="4" s="1"/>
  <c r="I14" i="4"/>
  <c r="H14" i="4"/>
  <c r="J12" i="4"/>
  <c r="K12" i="4" s="1"/>
  <c r="I12" i="4"/>
  <c r="H12" i="4"/>
  <c r="J10" i="4"/>
  <c r="K10" i="4" s="1"/>
  <c r="I10" i="4"/>
  <c r="H10" i="4"/>
  <c r="J8" i="4"/>
  <c r="K8" i="4" s="1"/>
  <c r="I8" i="4"/>
  <c r="H8" i="4"/>
  <c r="J6" i="4"/>
  <c r="K6" i="4" s="1"/>
  <c r="I6" i="4"/>
  <c r="H6" i="4"/>
  <c r="J4" i="4"/>
  <c r="K4" i="4" s="1"/>
  <c r="I4" i="4"/>
  <c r="H4" i="4"/>
  <c r="J2" i="4"/>
  <c r="K2" i="4" s="1"/>
  <c r="I2" i="4"/>
  <c r="H2" i="4"/>
  <c r="H12" i="3"/>
  <c r="J12" i="3" s="1"/>
  <c r="I11" i="3"/>
  <c r="H11" i="3"/>
  <c r="I10" i="3"/>
  <c r="H10" i="3"/>
  <c r="J10" i="3" s="1"/>
  <c r="K10" i="3" s="1"/>
  <c r="I9" i="3"/>
  <c r="H9" i="3"/>
  <c r="J9" i="3" s="1"/>
  <c r="K9" i="3" s="1"/>
  <c r="H8" i="3"/>
  <c r="J8" i="3" s="1"/>
  <c r="I7" i="3"/>
  <c r="H7" i="3"/>
  <c r="I6" i="3"/>
  <c r="H6" i="3"/>
  <c r="J6" i="3" s="1"/>
  <c r="K6" i="3" s="1"/>
  <c r="I5" i="3"/>
  <c r="H5" i="3"/>
  <c r="I4" i="3"/>
  <c r="H4" i="3"/>
  <c r="I21" i="2"/>
  <c r="H21" i="2"/>
  <c r="J21" i="2" s="1"/>
  <c r="K21" i="2" s="1"/>
  <c r="I19" i="2"/>
  <c r="H19" i="2"/>
  <c r="I17" i="2"/>
  <c r="H17" i="2"/>
  <c r="J17" i="2" s="1"/>
  <c r="K17" i="2" s="1"/>
  <c r="I15" i="2"/>
  <c r="H15" i="2"/>
  <c r="J15" i="2" s="1"/>
  <c r="K15" i="2" s="1"/>
  <c r="I13" i="2"/>
  <c r="H13" i="2"/>
  <c r="I11" i="2"/>
  <c r="H11" i="2"/>
  <c r="J11" i="2" s="1"/>
  <c r="K11" i="2" s="1"/>
  <c r="I9" i="2"/>
  <c r="H9" i="2"/>
  <c r="J9" i="2" s="1"/>
  <c r="K9" i="2" s="1"/>
  <c r="I7" i="2"/>
  <c r="H7" i="2"/>
  <c r="I5" i="2"/>
  <c r="H5" i="2"/>
  <c r="J5" i="2" s="1"/>
  <c r="K5" i="2" s="1"/>
  <c r="I3" i="2"/>
  <c r="H3" i="2"/>
  <c r="J3" i="2" s="1"/>
  <c r="K3" i="2" s="1"/>
  <c r="I2" i="2"/>
  <c r="H2" i="2"/>
  <c r="H3" i="1"/>
  <c r="J3" i="1" s="1"/>
  <c r="K3" i="1" s="1"/>
  <c r="H4" i="1"/>
  <c r="J4" i="1" s="1"/>
  <c r="K4" i="1" s="1"/>
  <c r="H5" i="1"/>
  <c r="J5" i="1" s="1"/>
  <c r="K5" i="1" s="1"/>
  <c r="H6" i="1"/>
  <c r="J6" i="1" s="1"/>
  <c r="K6" i="1" s="1"/>
  <c r="H7" i="1"/>
  <c r="J7" i="1" s="1"/>
  <c r="K7" i="1" s="1"/>
  <c r="H8" i="1"/>
  <c r="J8" i="1" s="1"/>
  <c r="K8" i="1" s="1"/>
  <c r="H10" i="1"/>
  <c r="J10" i="1" s="1"/>
  <c r="K10" i="1" s="1"/>
  <c r="H11" i="1"/>
  <c r="J11" i="1" s="1"/>
  <c r="K11" i="1" s="1"/>
  <c r="H12" i="1"/>
  <c r="J12" i="1" s="1"/>
  <c r="K12" i="1" s="1"/>
  <c r="I12" i="1"/>
  <c r="I3" i="1"/>
  <c r="I4" i="1"/>
  <c r="I5" i="1"/>
  <c r="I6" i="1"/>
  <c r="I7" i="1"/>
  <c r="I8" i="1"/>
  <c r="I9" i="1"/>
  <c r="I10" i="1"/>
  <c r="I11" i="1"/>
  <c r="H2" i="1"/>
  <c r="I2" i="1"/>
  <c r="K2" i="3" l="1"/>
  <c r="J7" i="3"/>
  <c r="K7" i="3" s="1"/>
  <c r="K8" i="3"/>
  <c r="J5" i="3"/>
  <c r="K5" i="3" s="1"/>
  <c r="J11" i="3"/>
  <c r="K11" i="3" s="1"/>
  <c r="J4" i="3"/>
  <c r="K4" i="3" s="1"/>
  <c r="J22" i="4"/>
  <c r="K22" i="4" s="1"/>
  <c r="K12" i="3"/>
  <c r="J2" i="2"/>
  <c r="K2" i="2" s="1"/>
  <c r="J7" i="2"/>
  <c r="K7" i="2" s="1"/>
  <c r="J13" i="2"/>
  <c r="K13" i="2" s="1"/>
  <c r="J19" i="2"/>
  <c r="K19" i="2" s="1"/>
  <c r="K9" i="1"/>
  <c r="J2" i="1"/>
  <c r="K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<sst xmlns="http://schemas.openxmlformats.org/spreadsheetml/2006/main" count="48" uniqueCount="12">
  <si>
    <t>I</t>
  </si>
  <si>
    <t>R0</t>
  </si>
  <si>
    <t>t_rest</t>
  </si>
  <si>
    <t>t_charge</t>
  </si>
  <si>
    <t>VE</t>
  </si>
  <si>
    <t>VF</t>
  </si>
  <si>
    <t>VG</t>
  </si>
  <si>
    <t>VK</t>
  </si>
  <si>
    <t>SoC</t>
  </si>
  <si>
    <t>Rp</t>
  </si>
  <si>
    <t>Cp</t>
  </si>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</sst>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53193350831153E-2"/>
          <c:y val="0.19486111111111112"/>
          <c:w val="0.8964746281714786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'9 cells'!$D$1</c:f>
              <c:strCache>
                <c:ptCount val="1"/>
                <c:pt idx="0">
                  <c:v>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 cells'!$B$1:$B$12</c:f>
              <c:strCache>
                <c:ptCount val="12"/>
                <c:pt idx="0">
                  <c:v>SoC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cat>
          <c:val>
            <c:numRef>
              <c:f>'9 cells'!$D$2:$D$12</c:f>
              <c:numCache>
                <c:formatCode>General</c:formatCode>
                <c:ptCount val="11"/>
                <c:pt idx="0">
                  <c:v>2.6945899999999998</c:v>
                </c:pt>
                <c:pt idx="1">
                  <c:v>3.7751700000000001</c:v>
                </c:pt>
                <c:pt idx="2">
                  <c:v>34.149000000000001</c:v>
                </c:pt>
                <c:pt idx="3">
                  <c:v>3.9102399999999999</c:v>
                </c:pt>
                <c:pt idx="4">
                  <c:v>3.9295599999999999</c:v>
                </c:pt>
                <c:pt idx="5">
                  <c:v>3.9415300000000002</c:v>
                </c:pt>
                <c:pt idx="6">
                  <c:v>3.9500500000000001</c:v>
                </c:pt>
                <c:pt idx="7">
                  <c:v>35.015000000000001</c:v>
                </c:pt>
                <c:pt idx="8">
                  <c:v>3.97302</c:v>
                </c:pt>
                <c:pt idx="9">
                  <c:v>4.0264100000000003</c:v>
                </c:pt>
                <c:pt idx="10">
                  <c:v>37.567999999999998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C-4FBC-AE0A-975C122F6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030383"/>
        <c:axId val="1001024143"/>
      </c:lineChart>
      <c:catAx>
        <c:axId val="10010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24143"/>
        <c:crosses val="autoZero"/>
        <c:auto val="1"/>
        <c:lblAlgn val="ctr"/>
        <c:lblOffset val="100"/>
        <c:noMultiLvlLbl val="0"/>
      </c:catAx>
      <c:valAx>
        <c:axId val="1001024143"/>
        <c:scaling>
          <c:orientation val="minMax"/>
          <c:min val="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53193350831153E-2"/>
          <c:y val="0.19486111111111112"/>
          <c:w val="0.8964746281714786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'9 cells'!$D$1</c:f>
              <c:strCache>
                <c:ptCount val="1"/>
                <c:pt idx="0">
                  <c:v>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 cells'!$B$1:$B$12</c:f>
              <c:strCache>
                <c:ptCount val="12"/>
                <c:pt idx="0">
                  <c:v>SoC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cat>
          <c:val>
            <c:numRef>
              <c:f>'9 cells'!$D$2:$D$12</c:f>
              <c:numCache>
                <c:formatCode>General</c:formatCode>
                <c:ptCount val="11"/>
                <c:pt idx="0">
                  <c:v>2.6945899999999998</c:v>
                </c:pt>
                <c:pt idx="1">
                  <c:v>3.7751700000000001</c:v>
                </c:pt>
                <c:pt idx="2">
                  <c:v>34.149000000000001</c:v>
                </c:pt>
                <c:pt idx="3">
                  <c:v>3.9102399999999999</c:v>
                </c:pt>
                <c:pt idx="4">
                  <c:v>3.9295599999999999</c:v>
                </c:pt>
                <c:pt idx="5">
                  <c:v>3.9415300000000002</c:v>
                </c:pt>
                <c:pt idx="6">
                  <c:v>3.9500500000000001</c:v>
                </c:pt>
                <c:pt idx="7">
                  <c:v>35.015000000000001</c:v>
                </c:pt>
                <c:pt idx="8">
                  <c:v>3.97302</c:v>
                </c:pt>
                <c:pt idx="9">
                  <c:v>4.0264100000000003</c:v>
                </c:pt>
                <c:pt idx="10">
                  <c:v>37.567999999999998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5-4782-86E8-20BB7650B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030383"/>
        <c:axId val="1001024143"/>
      </c:lineChart>
      <c:catAx>
        <c:axId val="10010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24143"/>
        <c:crosses val="autoZero"/>
        <c:auto val="1"/>
        <c:lblAlgn val="ctr"/>
        <c:lblOffset val="100"/>
        <c:noMultiLvlLbl val="0"/>
      </c:catAx>
      <c:valAx>
        <c:axId val="1001024143"/>
        <c:scaling>
          <c:orientation val="minMax"/>
          <c:min val="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53193350831153E-2"/>
          <c:y val="0.19486111111111112"/>
          <c:w val="0.8964746281714786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'9 cells'!$D$1</c:f>
              <c:strCache>
                <c:ptCount val="1"/>
                <c:pt idx="0">
                  <c:v>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 cells'!$B$1:$B$12</c:f>
              <c:strCache>
                <c:ptCount val="12"/>
                <c:pt idx="0">
                  <c:v>SoC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cat>
          <c:val>
            <c:numRef>
              <c:f>'9 cells'!$D$2:$D$12</c:f>
              <c:numCache>
                <c:formatCode>General</c:formatCode>
                <c:ptCount val="11"/>
                <c:pt idx="0">
                  <c:v>2.6945899999999998</c:v>
                </c:pt>
                <c:pt idx="1">
                  <c:v>3.7751700000000001</c:v>
                </c:pt>
                <c:pt idx="2">
                  <c:v>34.149000000000001</c:v>
                </c:pt>
                <c:pt idx="3">
                  <c:v>3.9102399999999999</c:v>
                </c:pt>
                <c:pt idx="4">
                  <c:v>3.9295599999999999</c:v>
                </c:pt>
                <c:pt idx="5">
                  <c:v>3.9415300000000002</c:v>
                </c:pt>
                <c:pt idx="6">
                  <c:v>3.9500500000000001</c:v>
                </c:pt>
                <c:pt idx="7">
                  <c:v>35.015000000000001</c:v>
                </c:pt>
                <c:pt idx="8">
                  <c:v>3.97302</c:v>
                </c:pt>
                <c:pt idx="9">
                  <c:v>4.0264100000000003</c:v>
                </c:pt>
                <c:pt idx="10">
                  <c:v>37.567999999999998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0-4BAB-A1BD-42FE18939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030383"/>
        <c:axId val="1001024143"/>
      </c:lineChart>
      <c:catAx>
        <c:axId val="10010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24143"/>
        <c:crosses val="autoZero"/>
        <c:auto val="1"/>
        <c:lblAlgn val="ctr"/>
        <c:lblOffset val="100"/>
        <c:noMultiLvlLbl val="0"/>
      </c:catAx>
      <c:valAx>
        <c:axId val="1001024143"/>
        <c:scaling>
          <c:orientation val="minMax"/>
          <c:min val="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53193350831153E-2"/>
          <c:y val="0.19486111111111112"/>
          <c:w val="0.8964746281714786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'9 cells'!$D$1</c:f>
              <c:strCache>
                <c:ptCount val="1"/>
                <c:pt idx="0">
                  <c:v>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 cells'!$B$1:$B$12</c:f>
              <c:strCache>
                <c:ptCount val="12"/>
                <c:pt idx="0">
                  <c:v>SoC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cat>
          <c:val>
            <c:numRef>
              <c:f>'9 cells'!$D$2:$D$12</c:f>
              <c:numCache>
                <c:formatCode>General</c:formatCode>
                <c:ptCount val="11"/>
                <c:pt idx="0">
                  <c:v>2.6945899999999998</c:v>
                </c:pt>
                <c:pt idx="1">
                  <c:v>3.7751700000000001</c:v>
                </c:pt>
                <c:pt idx="2">
                  <c:v>34.149000000000001</c:v>
                </c:pt>
                <c:pt idx="3">
                  <c:v>3.9102399999999999</c:v>
                </c:pt>
                <c:pt idx="4">
                  <c:v>3.9295599999999999</c:v>
                </c:pt>
                <c:pt idx="5">
                  <c:v>3.9415300000000002</c:v>
                </c:pt>
                <c:pt idx="6">
                  <c:v>3.9500500000000001</c:v>
                </c:pt>
                <c:pt idx="7">
                  <c:v>35.015000000000001</c:v>
                </c:pt>
                <c:pt idx="8">
                  <c:v>3.97302</c:v>
                </c:pt>
                <c:pt idx="9">
                  <c:v>4.0264100000000003</c:v>
                </c:pt>
                <c:pt idx="10">
                  <c:v>37.567999999999998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7-4B20-99A5-55578CC9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030383"/>
        <c:axId val="1001024143"/>
      </c:lineChart>
      <c:catAx>
        <c:axId val="10010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24143"/>
        <c:crosses val="autoZero"/>
        <c:auto val="1"/>
        <c:lblAlgn val="ctr"/>
        <c:lblOffset val="100"/>
        <c:noMultiLvlLbl val="0"/>
      </c:catAx>
      <c:valAx>
        <c:axId val="1001024143"/>
        <c:scaling>
          <c:orientation val="minMax"/>
          <c:min val="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4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32655</xdr:colOff>
      <xdr:row>23</xdr:row>
      <xdr:rowOff>141515</xdr:rowOff>
    </xdr:from>
    <xdr:to>
      <xdr:col>32</xdr:col>
      <xdr:colOff>446313</xdr:colOff>
      <xdr:row>41</xdr:row>
      <xdr:rowOff>162441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BCB8E1-096C-01E6-B9B3-F8FDAA3D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7969" y="4582886"/>
          <a:ext cx="4071257" cy="3351955"/>
        </a:xfrm>
        <a:prstGeom prst="rect">
          <a:avLst/>
        </a:prstGeom>
      </xdr:spPr>
    </xdr:pic>
    <xdr:clientData/>
  </xdr:twoCellAnchor>
  <xdr:twoCellAnchor>
    <xdr:from>
      <xdr:col>16</xdr:col>
      <xdr:colOff>466207</xdr:colOff>
      <xdr:row>5</xdr:row>
      <xdr:rowOff>45836</xdr:rowOff>
    </xdr:from>
    <xdr:to>
      <xdr:col>21</xdr:col>
      <xdr:colOff>284417</xdr:colOff>
      <xdr:row>8</xdr:row>
      <xdr:rowOff>143117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48">
              <a:extLst>
                <a:ext uri="{FF2B5EF4-FFF2-40B4-BE49-F238E27FC236}">
                  <a16:creationId xmlns:a16="http://schemas.microsoft.com/office/drawing/2014/main" id="{2309DF8F-7585-BD4E-A207-ACCA89AE8DB1}"/>
                </a:ext>
              </a:extLst>
            </xdr:cNvPr>
            <xdr:cNvSpPr txBox="1"/>
          </xdr:nvSpPr>
          <xdr:spPr>
            <a:xfrm>
              <a:off x="10280767" y="960236"/>
              <a:ext cx="2866210" cy="6459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𝑅</m:t>
                      </m:r>
                    </m:e>
                    <m:sub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𝑇h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𝐺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𝐹</m:t>
                          </m:r>
                        </m:sub>
                      </m:sSub>
                    </m:num>
                    <m:den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𝐼</m:t>
                      </m:r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×(1−</m:t>
                      </m:r>
                      <m:sSup>
                        <m:sSupPr>
                          <m:ctrlP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f>
                            <m:fPr>
                              <m:ctrlP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−</m:t>
                              </m:r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𝑡</m:t>
                              </m:r>
                            </m:num>
                            <m:den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𝑅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  <m:r>
                                <a:rPr lang="en-US" sz="20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×</m:t>
                              </m:r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</m:den>
                          </m:f>
                        </m:sup>
                      </m:sSup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r>
                <a:rPr lang="en-US" sz="2000"/>
                <a:t> </a:t>
              </a:r>
            </a:p>
          </xdr:txBody>
        </xdr:sp>
      </mc:Choice>
      <mc:Fallback xmlns="">
        <xdr:sp macro="" textlink="">
          <xdr:nvSpPr>
            <xdr:cNvPr id="4" name="TextBox 48">
              <a:extLst>
                <a:ext uri="{FF2B5EF4-FFF2-40B4-BE49-F238E27FC236}">
                  <a16:creationId xmlns:a16="http://schemas.microsoft.com/office/drawing/2014/main" id="{2309DF8F-7585-BD4E-A207-ACCA89AE8DB1}"/>
                </a:ext>
              </a:extLst>
            </xdr:cNvPr>
            <xdr:cNvSpPr txBox="1"/>
          </xdr:nvSpPr>
          <xdr:spPr>
            <a:xfrm>
              <a:off x="10280767" y="960236"/>
              <a:ext cx="2866210" cy="6459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𝑅_𝑇ℎ</a:t>
              </a:r>
              <a:r>
                <a:rPr lang="en-US" sz="2000" b="0" i="0">
                  <a:latin typeface="Cambria Math" panose="02040503050406030204" pitchFamily="18" charset="0"/>
                </a:rPr>
                <a:t>=(𝑉_𝐺−𝑉_𝐹)/(𝐼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×(1−𝑒^((−𝑡)/(𝑅_𝑇ℎ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𝐶_𝑇ℎ ))))</a:t>
              </a:r>
              <a:r>
                <a:rPr lang="en-US" sz="2000"/>
                <a:t> </a:t>
              </a:r>
            </a:p>
          </xdr:txBody>
        </xdr:sp>
      </mc:Fallback>
    </mc:AlternateContent>
    <xdr:clientData/>
  </xdr:twoCellAnchor>
  <xdr:twoCellAnchor>
    <xdr:from>
      <xdr:col>14</xdr:col>
      <xdr:colOff>114300</xdr:colOff>
      <xdr:row>20</xdr:row>
      <xdr:rowOff>110490</xdr:rowOff>
    </xdr:from>
    <xdr:to>
      <xdr:col>21</xdr:col>
      <xdr:colOff>419100</xdr:colOff>
      <xdr:row>35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40CDF4-F2D3-1BB3-2372-A1BAC8EAB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472440</xdr:colOff>
      <xdr:row>4</xdr:row>
      <xdr:rowOff>68580</xdr:rowOff>
    </xdr:from>
    <xdr:to>
      <xdr:col>18</xdr:col>
      <xdr:colOff>457079</xdr:colOff>
      <xdr:row>17</xdr:row>
      <xdr:rowOff>76323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6CF0F4-E1DC-40B8-D3DD-13E8A4328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1348740"/>
          <a:ext cx="3642239" cy="2385183"/>
        </a:xfrm>
        <a:prstGeom prst="rect">
          <a:avLst/>
        </a:prstGeom>
      </xdr:spPr>
    </xdr:pic>
    <xdr:clientData/>
  </xdr:twoCellAnchor>
  <xdr:twoCellAnchor>
    <xdr:from>
      <xdr:col>19</xdr:col>
      <xdr:colOff>445319</xdr:colOff>
      <xdr:row>6</xdr:row>
      <xdr:rowOff>95482</xdr:rowOff>
    </xdr:from>
    <xdr:to>
      <xdr:col>19</xdr:col>
      <xdr:colOff>491038</xdr:colOff>
      <xdr:row>6</xdr:row>
      <xdr:rowOff>145927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051A51FE-621A-F383-AFA6-0D92199E3385}"/>
            </a:ext>
          </a:extLst>
        </xdr:cNvPr>
        <xdr:cNvSpPr/>
      </xdr:nvSpPr>
      <xdr:spPr>
        <a:xfrm>
          <a:off x="11555279" y="2107162"/>
          <a:ext cx="45719" cy="50445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320859</xdr:colOff>
      <xdr:row>6</xdr:row>
      <xdr:rowOff>0</xdr:rowOff>
    </xdr:from>
    <xdr:to>
      <xdr:col>19</xdr:col>
      <xdr:colOff>569779</xdr:colOff>
      <xdr:row>6</xdr:row>
      <xdr:rowOff>95482</xdr:rowOff>
    </xdr:to>
    <xdr:sp macro="" textlink="">
      <xdr:nvSpPr>
        <xdr:cNvPr id="7" name="TextBox 32">
          <a:extLst>
            <a:ext uri="{FF2B5EF4-FFF2-40B4-BE49-F238E27FC236}">
              <a16:creationId xmlns:a16="http://schemas.microsoft.com/office/drawing/2014/main" id="{F0AAC91C-2982-7FFF-7BDA-30FD202F7E18}"/>
            </a:ext>
          </a:extLst>
        </xdr:cNvPr>
        <xdr:cNvSpPr txBox="1"/>
      </xdr:nvSpPr>
      <xdr:spPr>
        <a:xfrm>
          <a:off x="11430819" y="1830163"/>
          <a:ext cx="248920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FF0000"/>
              </a:solidFill>
            </a:rPr>
            <a:t>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32655</xdr:colOff>
      <xdr:row>23</xdr:row>
      <xdr:rowOff>141515</xdr:rowOff>
    </xdr:from>
    <xdr:to>
      <xdr:col>32</xdr:col>
      <xdr:colOff>444408</xdr:colOff>
      <xdr:row>41</xdr:row>
      <xdr:rowOff>164346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9F95B-4443-4267-9352-DFEAD52DE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09815" y="6176555"/>
          <a:ext cx="4071258" cy="3312766"/>
        </a:xfrm>
        <a:prstGeom prst="rect">
          <a:avLst/>
        </a:prstGeom>
      </xdr:spPr>
    </xdr:pic>
    <xdr:clientData/>
  </xdr:twoCellAnchor>
  <xdr:twoCellAnchor>
    <xdr:from>
      <xdr:col>16</xdr:col>
      <xdr:colOff>466207</xdr:colOff>
      <xdr:row>5</xdr:row>
      <xdr:rowOff>45836</xdr:rowOff>
    </xdr:from>
    <xdr:to>
      <xdr:col>21</xdr:col>
      <xdr:colOff>284417</xdr:colOff>
      <xdr:row>8</xdr:row>
      <xdr:rowOff>143117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7DEAA966-A559-42E1-B0F0-84ADC118FD18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𝑅</m:t>
                      </m:r>
                    </m:e>
                    <m:sub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𝑇h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𝐺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𝐹</m:t>
                          </m:r>
                        </m:sub>
                      </m:sSub>
                    </m:num>
                    <m:den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𝐼</m:t>
                      </m:r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×(1−</m:t>
                      </m:r>
                      <m:sSup>
                        <m:sSupPr>
                          <m:ctrlP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f>
                            <m:fPr>
                              <m:ctrlP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−</m:t>
                              </m:r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𝑡</m:t>
                              </m:r>
                            </m:num>
                            <m:den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𝑅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  <m:r>
                                <a:rPr lang="en-US" sz="20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×</m:t>
                              </m:r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</m:den>
                          </m:f>
                        </m:sup>
                      </m:sSup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r>
                <a:rPr lang="en-US" sz="2000"/>
                <a:t> </a:t>
              </a:r>
            </a:p>
          </xdr:txBody>
        </xdr:sp>
      </mc:Choice>
      <mc:Fallback xmlns="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7DEAA966-A559-42E1-B0F0-84ADC118FD18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𝑅_𝑇ℎ</a:t>
              </a:r>
              <a:r>
                <a:rPr lang="en-US" sz="2000" b="0" i="0">
                  <a:latin typeface="Cambria Math" panose="02040503050406030204" pitchFamily="18" charset="0"/>
                </a:rPr>
                <a:t>=(𝑉_𝐺−𝑉_𝐹)/(𝐼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×(1−𝑒^((−𝑡)/(𝑅_𝑇ℎ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𝐶_𝑇ℎ ))))</a:t>
              </a:r>
              <a:r>
                <a:rPr lang="en-US" sz="2000"/>
                <a:t> </a:t>
              </a:r>
            </a:p>
          </xdr:txBody>
        </xdr:sp>
      </mc:Fallback>
    </mc:AlternateContent>
    <xdr:clientData/>
  </xdr:twoCellAnchor>
  <xdr:twoCellAnchor>
    <xdr:from>
      <xdr:col>14</xdr:col>
      <xdr:colOff>114300</xdr:colOff>
      <xdr:row>20</xdr:row>
      <xdr:rowOff>110490</xdr:rowOff>
    </xdr:from>
    <xdr:to>
      <xdr:col>21</xdr:col>
      <xdr:colOff>419100</xdr:colOff>
      <xdr:row>35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0FB85C-F18C-4CC1-8E15-F56A62BD3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472440</xdr:colOff>
      <xdr:row>3</xdr:row>
      <xdr:rowOff>152400</xdr:rowOff>
    </xdr:from>
    <xdr:to>
      <xdr:col>20</xdr:col>
      <xdr:colOff>457079</xdr:colOff>
      <xdr:row>16</xdr:row>
      <xdr:rowOff>162048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49E9C6-5889-40CB-AB19-B64BF1FB5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1180" y="723900"/>
          <a:ext cx="3642239" cy="2385183"/>
        </a:xfrm>
        <a:prstGeom prst="rect">
          <a:avLst/>
        </a:prstGeom>
      </xdr:spPr>
    </xdr:pic>
    <xdr:clientData/>
  </xdr:twoCellAnchor>
  <xdr:twoCellAnchor>
    <xdr:from>
      <xdr:col>19</xdr:col>
      <xdr:colOff>445319</xdr:colOff>
      <xdr:row>6</xdr:row>
      <xdr:rowOff>95482</xdr:rowOff>
    </xdr:from>
    <xdr:to>
      <xdr:col>19</xdr:col>
      <xdr:colOff>491038</xdr:colOff>
      <xdr:row>6</xdr:row>
      <xdr:rowOff>145927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E0114C74-91CA-4105-BA7E-E1D1A0EAF7BB}"/>
            </a:ext>
          </a:extLst>
        </xdr:cNvPr>
        <xdr:cNvSpPr/>
      </xdr:nvSpPr>
      <xdr:spPr>
        <a:xfrm>
          <a:off x="11555279" y="2107162"/>
          <a:ext cx="45719" cy="50445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320859</xdr:colOff>
      <xdr:row>6</xdr:row>
      <xdr:rowOff>0</xdr:rowOff>
    </xdr:from>
    <xdr:to>
      <xdr:col>19</xdr:col>
      <xdr:colOff>569779</xdr:colOff>
      <xdr:row>6</xdr:row>
      <xdr:rowOff>95482</xdr:rowOff>
    </xdr:to>
    <xdr:sp macro="" textlink="">
      <xdr:nvSpPr>
        <xdr:cNvPr id="7" name="TextBox 32">
          <a:extLst>
            <a:ext uri="{FF2B5EF4-FFF2-40B4-BE49-F238E27FC236}">
              <a16:creationId xmlns:a16="http://schemas.microsoft.com/office/drawing/2014/main" id="{15ED77BC-BC9D-4B60-878E-F114083F5BF5}"/>
            </a:ext>
          </a:extLst>
        </xdr:cNvPr>
        <xdr:cNvSpPr txBox="1"/>
      </xdr:nvSpPr>
      <xdr:spPr>
        <a:xfrm>
          <a:off x="11430819" y="1830163"/>
          <a:ext cx="248920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FF0000"/>
              </a:solidFill>
            </a:rPr>
            <a:t>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32655</xdr:colOff>
      <xdr:row>32</xdr:row>
      <xdr:rowOff>141515</xdr:rowOff>
    </xdr:from>
    <xdr:to>
      <xdr:col>32</xdr:col>
      <xdr:colOff>446313</xdr:colOff>
      <xdr:row>50</xdr:row>
      <xdr:rowOff>162441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8E144-856D-4089-8248-7D20FDA91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09815" y="6176555"/>
          <a:ext cx="4071258" cy="3312766"/>
        </a:xfrm>
        <a:prstGeom prst="rect">
          <a:avLst/>
        </a:prstGeom>
      </xdr:spPr>
    </xdr:pic>
    <xdr:clientData/>
  </xdr:twoCellAnchor>
  <xdr:twoCellAnchor>
    <xdr:from>
      <xdr:col>16</xdr:col>
      <xdr:colOff>466207</xdr:colOff>
      <xdr:row>8</xdr:row>
      <xdr:rowOff>45836</xdr:rowOff>
    </xdr:from>
    <xdr:to>
      <xdr:col>21</xdr:col>
      <xdr:colOff>284417</xdr:colOff>
      <xdr:row>14</xdr:row>
      <xdr:rowOff>143117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3769FE18-447F-4C85-9D33-A059419AE26D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𝑅</m:t>
                      </m:r>
                    </m:e>
                    <m:sub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𝑇h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𝐺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𝐹</m:t>
                          </m:r>
                        </m:sub>
                      </m:sSub>
                    </m:num>
                    <m:den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𝐼</m:t>
                      </m:r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×(1−</m:t>
                      </m:r>
                      <m:sSup>
                        <m:sSupPr>
                          <m:ctrlP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f>
                            <m:fPr>
                              <m:ctrlP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−</m:t>
                              </m:r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𝑡</m:t>
                              </m:r>
                            </m:num>
                            <m:den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𝑅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  <m:r>
                                <a:rPr lang="en-US" sz="20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×</m:t>
                              </m:r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</m:den>
                          </m:f>
                        </m:sup>
                      </m:sSup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r>
                <a:rPr lang="en-US" sz="2000"/>
                <a:t> </a:t>
              </a:r>
            </a:p>
          </xdr:txBody>
        </xdr:sp>
      </mc:Choice>
      <mc:Fallback xmlns="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3769FE18-447F-4C85-9D33-A059419AE26D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𝑅_𝑇ℎ</a:t>
              </a:r>
              <a:r>
                <a:rPr lang="en-US" sz="2000" b="0" i="0">
                  <a:latin typeface="Cambria Math" panose="02040503050406030204" pitchFamily="18" charset="0"/>
                </a:rPr>
                <a:t>=(𝑉_𝐺−𝑉_𝐹)/(𝐼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×(1−𝑒^((−𝑡)/(𝑅_𝑇ℎ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𝐶_𝑇ℎ ))))</a:t>
              </a:r>
              <a:r>
                <a:rPr lang="en-US" sz="2000"/>
                <a:t> </a:t>
              </a:r>
            </a:p>
          </xdr:txBody>
        </xdr:sp>
      </mc:Fallback>
    </mc:AlternateContent>
    <xdr:clientData/>
  </xdr:twoCellAnchor>
  <xdr:twoCellAnchor>
    <xdr:from>
      <xdr:col>14</xdr:col>
      <xdr:colOff>114300</xdr:colOff>
      <xdr:row>29</xdr:row>
      <xdr:rowOff>110490</xdr:rowOff>
    </xdr:from>
    <xdr:to>
      <xdr:col>21</xdr:col>
      <xdr:colOff>419100</xdr:colOff>
      <xdr:row>44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5446EF-FAFC-4BD5-8931-67ED6EAD9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20</xdr:col>
      <xdr:colOff>594239</xdr:colOff>
      <xdr:row>18</xdr:row>
      <xdr:rowOff>7743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58C116-0B29-45A7-88E5-643331C31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1560" y="1097280"/>
          <a:ext cx="3642239" cy="2385183"/>
        </a:xfrm>
        <a:prstGeom prst="rect">
          <a:avLst/>
        </a:prstGeom>
      </xdr:spPr>
    </xdr:pic>
    <xdr:clientData/>
  </xdr:twoCellAnchor>
  <xdr:twoCellAnchor>
    <xdr:from>
      <xdr:col>19</xdr:col>
      <xdr:colOff>445319</xdr:colOff>
      <xdr:row>10</xdr:row>
      <xdr:rowOff>95482</xdr:rowOff>
    </xdr:from>
    <xdr:to>
      <xdr:col>19</xdr:col>
      <xdr:colOff>491038</xdr:colOff>
      <xdr:row>10</xdr:row>
      <xdr:rowOff>145927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8B7FA884-C78D-46B4-A35A-09E7A38B23BC}"/>
            </a:ext>
          </a:extLst>
        </xdr:cNvPr>
        <xdr:cNvSpPr/>
      </xdr:nvSpPr>
      <xdr:spPr>
        <a:xfrm>
          <a:off x="11555279" y="2107162"/>
          <a:ext cx="45719" cy="50445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320859</xdr:colOff>
      <xdr:row>9</xdr:row>
      <xdr:rowOff>1363</xdr:rowOff>
    </xdr:from>
    <xdr:to>
      <xdr:col>19</xdr:col>
      <xdr:colOff>569779</xdr:colOff>
      <xdr:row>10</xdr:row>
      <xdr:rowOff>95482</xdr:rowOff>
    </xdr:to>
    <xdr:sp macro="" textlink="">
      <xdr:nvSpPr>
        <xdr:cNvPr id="7" name="TextBox 32">
          <a:extLst>
            <a:ext uri="{FF2B5EF4-FFF2-40B4-BE49-F238E27FC236}">
              <a16:creationId xmlns:a16="http://schemas.microsoft.com/office/drawing/2014/main" id="{4ECC09FB-A1B2-4F34-B4F2-891B26756949}"/>
            </a:ext>
          </a:extLst>
        </xdr:cNvPr>
        <xdr:cNvSpPr txBox="1"/>
      </xdr:nvSpPr>
      <xdr:spPr>
        <a:xfrm>
          <a:off x="11430819" y="1830163"/>
          <a:ext cx="248920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FF0000"/>
              </a:solidFill>
            </a:rPr>
            <a:t>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32655</xdr:colOff>
      <xdr:row>33</xdr:row>
      <xdr:rowOff>141515</xdr:rowOff>
    </xdr:from>
    <xdr:to>
      <xdr:col>32</xdr:col>
      <xdr:colOff>446313</xdr:colOff>
      <xdr:row>51</xdr:row>
      <xdr:rowOff>162441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C97F6-091C-4E7F-83A3-0D3970B2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09815" y="6176555"/>
          <a:ext cx="4071258" cy="3312766"/>
        </a:xfrm>
        <a:prstGeom prst="rect">
          <a:avLst/>
        </a:prstGeom>
      </xdr:spPr>
    </xdr:pic>
    <xdr:clientData/>
  </xdr:twoCellAnchor>
  <xdr:twoCellAnchor>
    <xdr:from>
      <xdr:col>16</xdr:col>
      <xdr:colOff>466207</xdr:colOff>
      <xdr:row>9</xdr:row>
      <xdr:rowOff>45836</xdr:rowOff>
    </xdr:from>
    <xdr:to>
      <xdr:col>21</xdr:col>
      <xdr:colOff>284417</xdr:colOff>
      <xdr:row>15</xdr:row>
      <xdr:rowOff>143117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129EDF98-6C76-4602-883E-5DC0C3D2ED32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𝑅</m:t>
                      </m:r>
                    </m:e>
                    <m:sub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𝑇h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𝐺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𝐹</m:t>
                          </m:r>
                        </m:sub>
                      </m:sSub>
                    </m:num>
                    <m:den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𝐼</m:t>
                      </m:r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×(1−</m:t>
                      </m:r>
                      <m:sSup>
                        <m:sSupPr>
                          <m:ctrlP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f>
                            <m:fPr>
                              <m:ctrlP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−</m:t>
                              </m:r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𝑡</m:t>
                              </m:r>
                            </m:num>
                            <m:den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𝑅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  <m:r>
                                <a:rPr lang="en-US" sz="20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×</m:t>
                              </m:r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</m:den>
                          </m:f>
                        </m:sup>
                      </m:sSup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r>
                <a:rPr lang="en-US" sz="2000"/>
                <a:t> </a:t>
              </a:r>
            </a:p>
          </xdr:txBody>
        </xdr:sp>
      </mc:Choice>
      <mc:Fallback xmlns="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129EDF98-6C76-4602-883E-5DC0C3D2ED32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𝑅_𝑇ℎ</a:t>
              </a:r>
              <a:r>
                <a:rPr lang="en-US" sz="2000" b="0" i="0">
                  <a:latin typeface="Cambria Math" panose="02040503050406030204" pitchFamily="18" charset="0"/>
                </a:rPr>
                <a:t>=(𝑉_𝐺−𝑉_𝐹)/(𝐼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×(1−𝑒^((−𝑡)/(𝑅_𝑇ℎ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𝐶_𝑇ℎ ))))</a:t>
              </a:r>
              <a:r>
                <a:rPr lang="en-US" sz="2000"/>
                <a:t> </a:t>
              </a:r>
            </a:p>
          </xdr:txBody>
        </xdr:sp>
      </mc:Fallback>
    </mc:AlternateContent>
    <xdr:clientData/>
  </xdr:twoCellAnchor>
  <xdr:twoCellAnchor>
    <xdr:from>
      <xdr:col>14</xdr:col>
      <xdr:colOff>114300</xdr:colOff>
      <xdr:row>30</xdr:row>
      <xdr:rowOff>110490</xdr:rowOff>
    </xdr:from>
    <xdr:to>
      <xdr:col>21</xdr:col>
      <xdr:colOff>419100</xdr:colOff>
      <xdr:row>45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A04939-12CD-4DB8-8A0A-F49BA4C1E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6</xdr:row>
      <xdr:rowOff>0</xdr:rowOff>
    </xdr:from>
    <xdr:to>
      <xdr:col>20</xdr:col>
      <xdr:colOff>594239</xdr:colOff>
      <xdr:row>19</xdr:row>
      <xdr:rowOff>7743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666541-BB87-4C8B-A9FC-CC850164D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1560" y="1097280"/>
          <a:ext cx="3642239" cy="2385183"/>
        </a:xfrm>
        <a:prstGeom prst="rect">
          <a:avLst/>
        </a:prstGeom>
      </xdr:spPr>
    </xdr:pic>
    <xdr:clientData/>
  </xdr:twoCellAnchor>
  <xdr:twoCellAnchor>
    <xdr:from>
      <xdr:col>19</xdr:col>
      <xdr:colOff>445319</xdr:colOff>
      <xdr:row>11</xdr:row>
      <xdr:rowOff>95482</xdr:rowOff>
    </xdr:from>
    <xdr:to>
      <xdr:col>19</xdr:col>
      <xdr:colOff>491038</xdr:colOff>
      <xdr:row>11</xdr:row>
      <xdr:rowOff>145927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D8B8A206-74EA-4398-8373-2CFB473E89E2}"/>
            </a:ext>
          </a:extLst>
        </xdr:cNvPr>
        <xdr:cNvSpPr/>
      </xdr:nvSpPr>
      <xdr:spPr>
        <a:xfrm>
          <a:off x="11555279" y="2107162"/>
          <a:ext cx="45719" cy="50445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320859</xdr:colOff>
      <xdr:row>10</xdr:row>
      <xdr:rowOff>1363</xdr:rowOff>
    </xdr:from>
    <xdr:to>
      <xdr:col>19</xdr:col>
      <xdr:colOff>569779</xdr:colOff>
      <xdr:row>11</xdr:row>
      <xdr:rowOff>95482</xdr:rowOff>
    </xdr:to>
    <xdr:sp macro="" textlink="">
      <xdr:nvSpPr>
        <xdr:cNvPr id="7" name="TextBox 32">
          <a:extLst>
            <a:ext uri="{FF2B5EF4-FFF2-40B4-BE49-F238E27FC236}">
              <a16:creationId xmlns:a16="http://schemas.microsoft.com/office/drawing/2014/main" id="{C325B281-2433-40DA-ADC2-899281E19DDD}"/>
            </a:ext>
          </a:extLst>
        </xdr:cNvPr>
        <xdr:cNvSpPr txBox="1"/>
      </xdr:nvSpPr>
      <xdr:spPr>
        <a:xfrm>
          <a:off x="11430819" y="1830163"/>
          <a:ext cx="248920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FF0000"/>
              </a:solidFill>
            </a:rPr>
            <a:t>K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8DE6-39CE-4896-87BB-E8E9C51B235A}">
  <dimension ref="A1:S17"/>
  <sheetViews>
    <sheetView zoomScaleNormal="100" workbookViewId="0">
      <selection activeCell="J4" sqref="J4"/>
    </sheetView>
  </sheetViews>
  <sheetFormatPr defaultRowHeight="14.4" x14ac:dyDescent="0.3"/>
  <cols>
    <col min="2" max="2" width="5" bestFit="1" customWidth="1"/>
    <col min="3" max="3" width="4" bestFit="1" customWidth="1"/>
    <col min="4" max="7" width="8" bestFit="1" customWidth="1"/>
    <col min="8" max="8" width="12" bestFit="1" customWidth="1"/>
    <col min="9" max="9" width="5" bestFit="1" customWidth="1"/>
    <col min="10" max="11" width="12" bestFit="1" customWidth="1"/>
  </cols>
  <sheetData>
    <row r="1" spans="1:19" x14ac:dyDescent="0.3">
      <c r="B1" t="s">
        <v>8</v>
      </c>
      <c r="C1" t="s">
        <v>0</v>
      </c>
      <c r="D1" s="1" t="s">
        <v>4</v>
      </c>
      <c r="E1" s="2" t="s">
        <v>5</v>
      </c>
      <c r="F1" s="3" t="s">
        <v>6</v>
      </c>
      <c r="G1" s="4" t="s">
        <v>7</v>
      </c>
      <c r="H1" s="5" t="s">
        <v>11</v>
      </c>
      <c r="I1" t="s">
        <v>1</v>
      </c>
      <c r="J1" t="s">
        <v>9</v>
      </c>
      <c r="K1" t="s">
        <v>10</v>
      </c>
      <c r="R1" t="s">
        <v>2</v>
      </c>
      <c r="S1">
        <v>80</v>
      </c>
    </row>
    <row r="2" spans="1:19" x14ac:dyDescent="0.3">
      <c r="B2">
        <v>0</v>
      </c>
      <c r="C2">
        <v>1.276</v>
      </c>
      <c r="D2">
        <v>2.6945899999999998</v>
      </c>
      <c r="E2">
        <v>2.7195900000000002</v>
      </c>
      <c r="F2">
        <v>2.7216399999999998</v>
      </c>
      <c r="G2">
        <v>2.6957300000000002</v>
      </c>
      <c r="H2">
        <f>-$S$1/LN((G2-D2)/(F2-E2))</f>
        <v>136.32997275743406</v>
      </c>
      <c r="I2">
        <f>(E2-D2)/$C$2</f>
        <v>1.9592476489028492E-2</v>
      </c>
      <c r="J2">
        <f>(F2-E2)/($C$2*(1-(EXP(-$S$2/H2))))</f>
        <v>1.1774196681160391E-2</v>
      </c>
      <c r="K2">
        <f>H2/J2</f>
        <v>11578.706934255004</v>
      </c>
      <c r="R2" t="s">
        <v>3</v>
      </c>
      <c r="S2">
        <v>20</v>
      </c>
    </row>
    <row r="3" spans="1:19" x14ac:dyDescent="0.3">
      <c r="B3">
        <v>0.1</v>
      </c>
      <c r="C3">
        <v>0.5</v>
      </c>
      <c r="D3">
        <v>3.7751700000000001</v>
      </c>
      <c r="E3">
        <v>3.80017</v>
      </c>
      <c r="F3">
        <v>3.8023400000000001</v>
      </c>
      <c r="G3">
        <v>3.7763300000000002</v>
      </c>
      <c r="H3">
        <f t="shared" ref="H3:H12" si="0">-$S$1/LN((G3-D3)/(F3-E3))</f>
        <v>127.73285186311983</v>
      </c>
      <c r="I3">
        <f t="shared" ref="I3:I12" si="1">(E3-D3)/$C$2</f>
        <v>1.9592476489028142E-2</v>
      </c>
      <c r="J3">
        <f t="shared" ref="J3:J12" si="2">(F3-E3)/($C$2*(1-(EXP(-$S$2/H3))))</f>
        <v>1.1733790883624111E-2</v>
      </c>
      <c r="K3">
        <f t="shared" ref="K3:K12" si="3">H3/J3</f>
        <v>10885.89809806361</v>
      </c>
    </row>
    <row r="4" spans="1:19" x14ac:dyDescent="0.3">
      <c r="B4">
        <v>0.2</v>
      </c>
      <c r="C4">
        <v>0.5</v>
      </c>
      <c r="D4">
        <v>34.149000000000001</v>
      </c>
      <c r="E4">
        <v>34.923000000000002</v>
      </c>
      <c r="F4">
        <v>34.942999999999998</v>
      </c>
      <c r="G4">
        <v>34.188000000000002</v>
      </c>
      <c r="H4">
        <f t="shared" si="0"/>
        <v>-119.79107730980908</v>
      </c>
      <c r="I4">
        <f t="shared" si="1"/>
        <v>0.60658307210031415</v>
      </c>
      <c r="J4">
        <f t="shared" si="2"/>
        <v>-8.6261136645171613E-2</v>
      </c>
      <c r="K4">
        <f t="shared" si="3"/>
        <v>1388.7027457400688</v>
      </c>
    </row>
    <row r="5" spans="1:19" x14ac:dyDescent="0.3">
      <c r="B5">
        <v>0.3</v>
      </c>
      <c r="C5">
        <v>0.5</v>
      </c>
      <c r="D5">
        <v>3.9102399999999999</v>
      </c>
      <c r="E5">
        <v>3.9352399999999998</v>
      </c>
      <c r="F5">
        <v>3.9379499999999998</v>
      </c>
      <c r="G5">
        <v>3.9116900000000001</v>
      </c>
      <c r="H5">
        <f t="shared" si="0"/>
        <v>127.92118449184322</v>
      </c>
      <c r="I5">
        <f t="shared" si="1"/>
        <v>1.9592476489028142E-2</v>
      </c>
      <c r="J5">
        <f t="shared" si="2"/>
        <v>1.467367893540803E-2</v>
      </c>
      <c r="K5">
        <f t="shared" si="3"/>
        <v>8717.7309149899374</v>
      </c>
    </row>
    <row r="6" spans="1:19" x14ac:dyDescent="0.3">
      <c r="B6">
        <v>0.4</v>
      </c>
      <c r="C6">
        <v>0.5</v>
      </c>
      <c r="D6">
        <v>3.9295599999999999</v>
      </c>
      <c r="E6">
        <v>3.9545599999999999</v>
      </c>
      <c r="F6">
        <v>3.9576600000000002</v>
      </c>
      <c r="G6">
        <v>3.9312100000000001</v>
      </c>
      <c r="H6">
        <f t="shared" si="0"/>
        <v>126.85790868523988</v>
      </c>
      <c r="I6">
        <f t="shared" si="1"/>
        <v>1.9592476489028142E-2</v>
      </c>
      <c r="J6">
        <f t="shared" si="2"/>
        <v>1.6656494487891978E-2</v>
      </c>
      <c r="K6">
        <f t="shared" si="3"/>
        <v>7616.1228749216143</v>
      </c>
    </row>
    <row r="7" spans="1:19" x14ac:dyDescent="0.3">
      <c r="B7">
        <v>0.5</v>
      </c>
      <c r="C7">
        <v>0.5</v>
      </c>
      <c r="D7">
        <v>3.9415300000000002</v>
      </c>
      <c r="E7">
        <v>3.9665300000000001</v>
      </c>
      <c r="F7">
        <v>3.9701399999999998</v>
      </c>
      <c r="G7">
        <v>3.94346</v>
      </c>
      <c r="H7">
        <f t="shared" si="0"/>
        <v>127.75720623396062</v>
      </c>
      <c r="I7">
        <f t="shared" si="1"/>
        <v>1.9592476489028142E-2</v>
      </c>
      <c r="J7">
        <f t="shared" si="2"/>
        <v>1.9523707710984283E-2</v>
      </c>
      <c r="K7">
        <f t="shared" si="3"/>
        <v>6543.6959068016986</v>
      </c>
    </row>
    <row r="8" spans="1:19" x14ac:dyDescent="0.3">
      <c r="B8">
        <v>0.6</v>
      </c>
      <c r="C8">
        <v>0.5</v>
      </c>
      <c r="D8">
        <v>3.9500500000000001</v>
      </c>
      <c r="E8">
        <v>3.97505</v>
      </c>
      <c r="F8">
        <v>3.9793699999999999</v>
      </c>
      <c r="G8">
        <v>3.95235</v>
      </c>
      <c r="H8">
        <f t="shared" si="0"/>
        <v>126.91436853754013</v>
      </c>
      <c r="I8">
        <f t="shared" si="1"/>
        <v>1.9592476489028142E-2</v>
      </c>
      <c r="J8">
        <f t="shared" si="2"/>
        <v>2.3221168732397775E-2</v>
      </c>
      <c r="K8">
        <f t="shared" si="3"/>
        <v>5465.4599861061852</v>
      </c>
    </row>
    <row r="9" spans="1:19" x14ac:dyDescent="0.3">
      <c r="B9">
        <v>0.7</v>
      </c>
      <c r="C9">
        <v>0.5</v>
      </c>
      <c r="D9">
        <v>35.015000000000001</v>
      </c>
      <c r="E9">
        <v>35.85</v>
      </c>
      <c r="F9">
        <v>35.869999999999997</v>
      </c>
      <c r="G9">
        <v>35.03</v>
      </c>
      <c r="H9">
        <f>-$S$1/LN((G9-D9)/(F9-E9))</f>
        <v>278.08475974280549</v>
      </c>
      <c r="I9">
        <f t="shared" si="1"/>
        <v>0.65438871473354299</v>
      </c>
      <c r="J9">
        <f t="shared" si="2"/>
        <v>0.22586568725745082</v>
      </c>
      <c r="K9">
        <f t="shared" si="3"/>
        <v>1231.1952431527736</v>
      </c>
    </row>
    <row r="10" spans="1:19" x14ac:dyDescent="0.3">
      <c r="B10">
        <v>0.8</v>
      </c>
      <c r="C10">
        <v>0.5</v>
      </c>
      <c r="D10">
        <v>3.97302</v>
      </c>
      <c r="E10">
        <v>3.9980199999999999</v>
      </c>
      <c r="F10">
        <v>4.0052099999999999</v>
      </c>
      <c r="G10">
        <v>3.9768599999999998</v>
      </c>
      <c r="H10">
        <f t="shared" si="0"/>
        <v>127.54719620211276</v>
      </c>
      <c r="I10">
        <f t="shared" si="1"/>
        <v>1.9592476489028142E-2</v>
      </c>
      <c r="J10">
        <f t="shared" si="2"/>
        <v>3.8826121243124651E-2</v>
      </c>
      <c r="K10">
        <f t="shared" si="3"/>
        <v>3285.0872587407603</v>
      </c>
      <c r="O10" t="e" vm="1">
        <v>#VALUE!</v>
      </c>
    </row>
    <row r="11" spans="1:19" x14ac:dyDescent="0.3">
      <c r="B11">
        <v>0.9</v>
      </c>
      <c r="C11">
        <v>0.5</v>
      </c>
      <c r="D11">
        <v>4.0264100000000003</v>
      </c>
      <c r="E11">
        <v>4.0514099999999997</v>
      </c>
      <c r="F11">
        <v>4.0621700000000001</v>
      </c>
      <c r="G11">
        <v>4.0321499999999997</v>
      </c>
      <c r="H11">
        <f t="shared" si="0"/>
        <v>127.31224004954396</v>
      </c>
      <c r="I11">
        <f t="shared" si="1"/>
        <v>1.9592476489027795E-2</v>
      </c>
      <c r="J11">
        <f t="shared" si="2"/>
        <v>5.8005319963776156E-2</v>
      </c>
      <c r="K11">
        <f t="shared" si="3"/>
        <v>2194.8373033550956</v>
      </c>
    </row>
    <row r="12" spans="1:19" x14ac:dyDescent="0.3">
      <c r="B12">
        <v>1</v>
      </c>
      <c r="C12">
        <v>0.5</v>
      </c>
      <c r="D12">
        <v>37.567999999999998</v>
      </c>
      <c r="E12">
        <v>4.2908600000000003</v>
      </c>
      <c r="F12">
        <v>4.3121600000000004</v>
      </c>
      <c r="G12">
        <v>4.2772199999999998</v>
      </c>
      <c r="H12" t="e">
        <f t="shared" si="0"/>
        <v>#NUM!</v>
      </c>
      <c r="I12">
        <f t="shared" si="1"/>
        <v>-26.07926332288401</v>
      </c>
      <c r="J12" t="e">
        <f t="shared" si="2"/>
        <v>#NUM!</v>
      </c>
      <c r="K12" t="e">
        <f t="shared" si="3"/>
        <v>#NUM!</v>
      </c>
    </row>
    <row r="15" spans="1:19" x14ac:dyDescent="0.3">
      <c r="A15" s="6"/>
    </row>
    <row r="16" spans="1:19" x14ac:dyDescent="0.3">
      <c r="A16" s="6"/>
    </row>
    <row r="17" spans="1:1" x14ac:dyDescent="0.3">
      <c r="A17" s="6"/>
    </row>
  </sheetData>
  <mergeCells count="1">
    <mergeCell ref="A15:A17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38C4-6807-452B-8BD2-72F9A0F4FECD}">
  <dimension ref="A1:S17"/>
  <sheetViews>
    <sheetView tabSelected="1" workbookViewId="0">
      <selection activeCell="N4" sqref="A1:XFD1048576"/>
    </sheetView>
  </sheetViews>
  <sheetFormatPr defaultRowHeight="14.4" x14ac:dyDescent="0.3"/>
  <cols>
    <col min="2" max="2" width="5" bestFit="1" customWidth="1"/>
    <col min="3" max="3" width="7.44140625" customWidth="1"/>
    <col min="4" max="7" width="8" bestFit="1" customWidth="1"/>
    <col min="8" max="8" width="12" bestFit="1" customWidth="1"/>
    <col min="9" max="9" width="14.77734375" customWidth="1"/>
    <col min="10" max="11" width="12" bestFit="1" customWidth="1"/>
  </cols>
  <sheetData>
    <row r="1" spans="1:19" ht="16.2" customHeight="1" x14ac:dyDescent="0.3">
      <c r="B1" t="s">
        <v>8</v>
      </c>
      <c r="C1" t="s">
        <v>0</v>
      </c>
      <c r="D1" s="1" t="s">
        <v>4</v>
      </c>
      <c r="E1" s="2" t="s">
        <v>5</v>
      </c>
      <c r="F1" s="3" t="s">
        <v>6</v>
      </c>
      <c r="G1" s="4" t="s">
        <v>7</v>
      </c>
      <c r="H1" s="5" t="s">
        <v>11</v>
      </c>
      <c r="I1" t="s">
        <v>1</v>
      </c>
      <c r="J1" t="s">
        <v>9</v>
      </c>
      <c r="K1" t="s">
        <v>10</v>
      </c>
      <c r="R1" t="s">
        <v>2</v>
      </c>
      <c r="S1">
        <v>15</v>
      </c>
    </row>
    <row r="2" spans="1:19" x14ac:dyDescent="0.3">
      <c r="B2">
        <v>0</v>
      </c>
      <c r="C2">
        <v>1.25</v>
      </c>
      <c r="D2">
        <v>2.6945899999999998</v>
      </c>
      <c r="E2">
        <v>2.7195900000000002</v>
      </c>
      <c r="F2">
        <v>2.7216399999999998</v>
      </c>
      <c r="G2">
        <v>2.6957300000000002</v>
      </c>
      <c r="H2">
        <f>-$S$1/LN((G2-D2)/(F2-E2))</f>
        <v>25.561869892018887</v>
      </c>
      <c r="I2">
        <f>(E2-D2)/$C$2</f>
        <v>2.0000000000000285E-2</v>
      </c>
      <c r="J2">
        <f>(F2-E2)/($C$2*(1-(EXP(-$S$2/H2))))</f>
        <v>3.0219280977318405E-3</v>
      </c>
      <c r="K2">
        <f>H2/J2</f>
        <v>8458.7948704685532</v>
      </c>
      <c r="R2" t="s">
        <v>3</v>
      </c>
      <c r="S2">
        <v>20</v>
      </c>
    </row>
    <row r="3" spans="1:19" x14ac:dyDescent="0.3">
      <c r="B3">
        <v>0.1</v>
      </c>
      <c r="C3">
        <v>0.5</v>
      </c>
      <c r="D3">
        <v>3.7751700000000001</v>
      </c>
      <c r="E3">
        <v>3.80017</v>
      </c>
      <c r="F3">
        <v>3.8023400000000001</v>
      </c>
      <c r="G3">
        <v>3.7763300000000002</v>
      </c>
      <c r="H3">
        <f t="shared" ref="H3:H12" si="0">-$S$1/LN((G3-D3)/(F3-E3))</f>
        <v>23.949909724334969</v>
      </c>
      <c r="I3">
        <f t="shared" ref="I3" si="1">(E3-D3)/$C$2</f>
        <v>1.9999999999999928E-2</v>
      </c>
      <c r="J3">
        <f t="shared" ref="J3" si="2">(F3-E3)/($C$2*(1-(EXP(-$S$2/H3))))</f>
        <v>3.0662786783405387E-3</v>
      </c>
      <c r="K3">
        <f t="shared" ref="K3:K12" si="3">H3/J3</f>
        <v>7810.7413698276741</v>
      </c>
    </row>
    <row r="4" spans="1:19" x14ac:dyDescent="0.3">
      <c r="B4">
        <v>0.2</v>
      </c>
      <c r="C4">
        <v>0.5</v>
      </c>
      <c r="D4">
        <v>3.6379999999999999</v>
      </c>
      <c r="E4">
        <v>3.657</v>
      </c>
      <c r="F4">
        <v>3.6779999999999999</v>
      </c>
      <c r="G4">
        <v>3.6549999999999998</v>
      </c>
      <c r="H4">
        <f t="shared" si="0"/>
        <v>70.98605999239949</v>
      </c>
      <c r="I4">
        <f t="shared" ref="I4:I11" si="4">(E4-D4)/$C$2</f>
        <v>1.5200000000000102E-2</v>
      </c>
      <c r="J4">
        <f t="shared" ref="J4:J11" si="5">(F4-E4)/($C$2*(1-(EXP(-$S$2/H4))))</f>
        <v>6.8422213167234999E-2</v>
      </c>
      <c r="K4">
        <f t="shared" si="3"/>
        <v>1037.4709718742658</v>
      </c>
    </row>
    <row r="5" spans="1:19" x14ac:dyDescent="0.3">
      <c r="B5">
        <v>0.3</v>
      </c>
      <c r="C5">
        <v>0.5</v>
      </c>
      <c r="D5">
        <v>3.7050000000000001</v>
      </c>
      <c r="E5">
        <v>3.722</v>
      </c>
      <c r="F5">
        <v>3.7309999999999999</v>
      </c>
      <c r="G5">
        <v>3.7109999999999999</v>
      </c>
      <c r="H5">
        <f t="shared" si="0"/>
        <v>36.994551935644225</v>
      </c>
      <c r="I5">
        <f t="shared" si="4"/>
        <v>1.3599999999999923E-2</v>
      </c>
      <c r="J5">
        <f t="shared" si="5"/>
        <v>1.7240841627732685E-2</v>
      </c>
      <c r="K5">
        <f t="shared" si="3"/>
        <v>2145.7509287793</v>
      </c>
    </row>
    <row r="6" spans="1:19" x14ac:dyDescent="0.3">
      <c r="B6">
        <v>0.4</v>
      </c>
      <c r="C6">
        <v>0.5</v>
      </c>
      <c r="D6">
        <v>3.746</v>
      </c>
      <c r="E6">
        <v>3.7629999999999999</v>
      </c>
      <c r="F6">
        <v>3.7719999999999998</v>
      </c>
      <c r="G6">
        <v>3.7519999999999998</v>
      </c>
      <c r="H6">
        <f t="shared" si="0"/>
        <v>36.994551935644225</v>
      </c>
      <c r="I6">
        <f t="shared" si="4"/>
        <v>1.3599999999999923E-2</v>
      </c>
      <c r="J6">
        <f t="shared" si="5"/>
        <v>1.7240841627732685E-2</v>
      </c>
      <c r="K6">
        <f t="shared" si="3"/>
        <v>2145.7509287793</v>
      </c>
    </row>
    <row r="7" spans="1:19" x14ac:dyDescent="0.3">
      <c r="B7">
        <v>0.5</v>
      </c>
      <c r="C7">
        <v>0.5</v>
      </c>
      <c r="D7">
        <v>3.794</v>
      </c>
      <c r="E7">
        <v>3.8090000000000002</v>
      </c>
      <c r="F7">
        <v>3.8159999999999998</v>
      </c>
      <c r="G7">
        <v>3.7989999999999999</v>
      </c>
      <c r="H7">
        <f t="shared" si="0"/>
        <v>44.580201179830283</v>
      </c>
      <c r="I7">
        <f t="shared" si="4"/>
        <v>1.2000000000000099E-2</v>
      </c>
      <c r="J7">
        <f t="shared" si="5"/>
        <v>1.549111788697446E-2</v>
      </c>
      <c r="K7">
        <f t="shared" si="3"/>
        <v>2877.791099718831</v>
      </c>
    </row>
    <row r="8" spans="1:19" x14ac:dyDescent="0.3">
      <c r="B8">
        <v>0.6</v>
      </c>
      <c r="C8">
        <v>0.5</v>
      </c>
      <c r="D8">
        <v>3.8330000000000002</v>
      </c>
      <c r="E8">
        <v>3.847</v>
      </c>
      <c r="F8">
        <v>3.855</v>
      </c>
      <c r="G8">
        <v>3.8380000000000001</v>
      </c>
      <c r="H8">
        <f t="shared" si="0"/>
        <v>31.914647178515143</v>
      </c>
      <c r="I8">
        <f>(E8-D8)/$C$2</f>
        <v>1.1199999999999832E-2</v>
      </c>
      <c r="J8">
        <f t="shared" si="5"/>
        <v>1.3744744559204514E-2</v>
      </c>
      <c r="K8">
        <f t="shared" si="3"/>
        <v>2321.9527319001863</v>
      </c>
    </row>
    <row r="9" spans="1:19" x14ac:dyDescent="0.3">
      <c r="B9">
        <v>0.7</v>
      </c>
      <c r="C9">
        <v>0.5</v>
      </c>
      <c r="D9">
        <v>3.883</v>
      </c>
      <c r="E9">
        <v>3.8959999999999999</v>
      </c>
      <c r="F9">
        <v>3.9049999999999998</v>
      </c>
      <c r="G9">
        <v>3.8879999999999999</v>
      </c>
      <c r="H9">
        <f t="shared" si="0"/>
        <v>25.519462920271621</v>
      </c>
      <c r="I9">
        <f t="shared" si="4"/>
        <v>1.039999999999992E-2</v>
      </c>
      <c r="J9">
        <f t="shared" si="5"/>
        <v>1.3252491654156011E-2</v>
      </c>
      <c r="K9">
        <f t="shared" si="3"/>
        <v>1925.6350870644512</v>
      </c>
    </row>
    <row r="10" spans="1:19" x14ac:dyDescent="0.3">
      <c r="B10">
        <v>0.8</v>
      </c>
      <c r="C10">
        <v>0.5</v>
      </c>
      <c r="D10">
        <v>3.9540000000000002</v>
      </c>
      <c r="E10">
        <v>3.9649999999999999</v>
      </c>
      <c r="F10">
        <v>3.9750000000000001</v>
      </c>
      <c r="G10">
        <v>3.96</v>
      </c>
      <c r="H10">
        <f t="shared" si="0"/>
        <v>29.364227834564861</v>
      </c>
      <c r="I10">
        <f t="shared" si="4"/>
        <v>8.7999999999997421E-3</v>
      </c>
      <c r="J10">
        <f t="shared" si="5"/>
        <v>1.6196286002796254E-2</v>
      </c>
      <c r="K10">
        <f t="shared" si="3"/>
        <v>1813.0223082930981</v>
      </c>
      <c r="O10" t="e" vm="1">
        <v>#VALUE!</v>
      </c>
    </row>
    <row r="11" spans="1:19" x14ac:dyDescent="0.3">
      <c r="B11">
        <v>0.9</v>
      </c>
      <c r="C11">
        <v>0.5</v>
      </c>
      <c r="D11">
        <v>4.0679999999999996</v>
      </c>
      <c r="E11">
        <v>4.08</v>
      </c>
      <c r="F11">
        <v>4.0940000000000003</v>
      </c>
      <c r="G11">
        <v>4.0780000000000003</v>
      </c>
      <c r="H11">
        <f t="shared" si="0"/>
        <v>44.580201179833644</v>
      </c>
      <c r="I11">
        <f t="shared" si="4"/>
        <v>9.6000000000003635E-3</v>
      </c>
      <c r="J11">
        <f t="shared" si="5"/>
        <v>3.0982235773952732E-2</v>
      </c>
      <c r="K11">
        <f t="shared" si="3"/>
        <v>1438.8955498593468</v>
      </c>
    </row>
    <row r="12" spans="1:19" x14ac:dyDescent="0.3">
      <c r="B12">
        <v>1</v>
      </c>
      <c r="C12">
        <v>1.05</v>
      </c>
      <c r="D12">
        <v>4.1820000000000004</v>
      </c>
      <c r="E12">
        <v>4.1920000000000002</v>
      </c>
      <c r="F12">
        <v>4.2009999999999996</v>
      </c>
      <c r="G12">
        <v>4.1879999999999997</v>
      </c>
      <c r="H12">
        <f t="shared" si="0"/>
        <v>36.994551935641972</v>
      </c>
      <c r="I12">
        <f>(E12-D12)/C12</f>
        <v>9.52380952380932E-3</v>
      </c>
      <c r="J12">
        <f>(F12-E12)/(C12*(1-(EXP(-$S$2/H12))))</f>
        <v>2.0524811461584577E-2</v>
      </c>
      <c r="K12">
        <f t="shared" si="3"/>
        <v>1802.4307801746736</v>
      </c>
    </row>
    <row r="15" spans="1:19" x14ac:dyDescent="0.3">
      <c r="A15" s="6"/>
    </row>
    <row r="16" spans="1:19" x14ac:dyDescent="0.3">
      <c r="A16" s="6"/>
    </row>
    <row r="17" spans="1:1" x14ac:dyDescent="0.3">
      <c r="A17" s="6"/>
    </row>
  </sheetData>
  <mergeCells count="1">
    <mergeCell ref="A15:A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5506-228F-42FB-9504-2D31A875FA3E}">
  <dimension ref="A1:S26"/>
  <sheetViews>
    <sheetView workbookViewId="0">
      <selection activeCell="B20" activeCellId="8" sqref="B4:K4 B6:K6 B8:K8 B10:K10 B12:K12 B14:K14 B16:K16 B18:K18 B20:K20"/>
    </sheetView>
  </sheetViews>
  <sheetFormatPr defaultRowHeight="14.4" x14ac:dyDescent="0.3"/>
  <cols>
    <col min="2" max="2" width="5" bestFit="1" customWidth="1"/>
    <col min="3" max="3" width="4" bestFit="1" customWidth="1"/>
    <col min="4" max="7" width="8" bestFit="1" customWidth="1"/>
    <col min="8" max="8" width="12" bestFit="1" customWidth="1"/>
    <col min="9" max="9" width="5" bestFit="1" customWidth="1"/>
    <col min="10" max="11" width="12" bestFit="1" customWidth="1"/>
  </cols>
  <sheetData>
    <row r="1" spans="2:19" x14ac:dyDescent="0.3">
      <c r="B1" t="s">
        <v>8</v>
      </c>
      <c r="C1" t="s">
        <v>0</v>
      </c>
      <c r="D1" s="1" t="s">
        <v>4</v>
      </c>
      <c r="E1" s="2" t="s">
        <v>5</v>
      </c>
      <c r="F1" s="3" t="s">
        <v>6</v>
      </c>
      <c r="G1" s="4" t="s">
        <v>7</v>
      </c>
      <c r="H1" s="5" t="s">
        <v>11</v>
      </c>
      <c r="I1" t="s">
        <v>1</v>
      </c>
      <c r="J1" t="s">
        <v>9</v>
      </c>
      <c r="K1" t="s">
        <v>10</v>
      </c>
      <c r="R1" t="s">
        <v>2</v>
      </c>
      <c r="S1">
        <v>0.01</v>
      </c>
    </row>
    <row r="2" spans="2:19" x14ac:dyDescent="0.3">
      <c r="B2">
        <v>0</v>
      </c>
      <c r="C2">
        <v>0.5</v>
      </c>
      <c r="D2">
        <v>2.6945899999999998</v>
      </c>
      <c r="E2">
        <v>2.7195900000000002</v>
      </c>
      <c r="F2">
        <v>2.7216399999999998</v>
      </c>
      <c r="G2">
        <v>2.6957300000000002</v>
      </c>
      <c r="H2">
        <f>-$S$1/LN((G2-D2)/(F2-E2))</f>
        <v>1.7041246594679257E-2</v>
      </c>
      <c r="I2">
        <f>(E2-D2)/$C$2</f>
        <v>5.0000000000000711E-2</v>
      </c>
      <c r="J2">
        <f>(F2-E2)/($C$2*(1-(EXP(-$S$2/H2))))</f>
        <v>4.3302882379319188E-3</v>
      </c>
      <c r="K2">
        <f>H2/J2</f>
        <v>3.9353608024065165</v>
      </c>
      <c r="R2" t="s">
        <v>3</v>
      </c>
      <c r="S2">
        <v>0.05</v>
      </c>
    </row>
    <row r="3" spans="2:19" x14ac:dyDescent="0.3">
      <c r="B3">
        <v>0.1</v>
      </c>
      <c r="C3">
        <v>0.5</v>
      </c>
      <c r="D3">
        <v>3.7751700000000001</v>
      </c>
      <c r="E3">
        <v>3.80017</v>
      </c>
      <c r="F3">
        <v>3.8023400000000001</v>
      </c>
      <c r="G3">
        <v>3.7763300000000002</v>
      </c>
      <c r="H3">
        <f t="shared" ref="H3:H21" si="0">-$S$1/LN((G3-D3)/(F3-E3))</f>
        <v>1.5966606482889979E-2</v>
      </c>
      <c r="I3">
        <f t="shared" ref="I3:I21" si="1">(E3-D3)/$C$2</f>
        <v>4.9999999999999822E-2</v>
      </c>
      <c r="J3">
        <f t="shared" ref="J3:J21" si="2">(F3-E3)/($C$2*(1-(EXP(-$S$2/H3))))</f>
        <v>4.5380908725686144E-3</v>
      </c>
      <c r="K3">
        <f t="shared" ref="K3:K21" si="3">H3/J3</f>
        <v>3.5183531866678304</v>
      </c>
    </row>
    <row r="5" spans="2:19" x14ac:dyDescent="0.3">
      <c r="B5">
        <v>0.2</v>
      </c>
      <c r="C5">
        <v>0.5</v>
      </c>
      <c r="D5">
        <v>3.8734000000000002</v>
      </c>
      <c r="E5">
        <v>3.8984000000000001</v>
      </c>
      <c r="F5">
        <v>3.9008099999999999</v>
      </c>
      <c r="G5">
        <v>3.8746900000000002</v>
      </c>
      <c r="H5">
        <f t="shared" si="0"/>
        <v>1.6000396064104347E-2</v>
      </c>
      <c r="I5">
        <f t="shared" si="1"/>
        <v>4.9999999999999822E-2</v>
      </c>
      <c r="J5">
        <f t="shared" si="2"/>
        <v>5.0415263436876644E-3</v>
      </c>
      <c r="K5">
        <f t="shared" si="3"/>
        <v>3.1737206102548559</v>
      </c>
    </row>
    <row r="7" spans="2:19" x14ac:dyDescent="0.3">
      <c r="B7">
        <v>0.3</v>
      </c>
      <c r="C7">
        <v>0.5</v>
      </c>
      <c r="D7">
        <v>3.9102399999999999</v>
      </c>
      <c r="E7">
        <v>3.9352399999999998</v>
      </c>
      <c r="F7">
        <v>3.9379499999999998</v>
      </c>
      <c r="G7">
        <v>3.9116900000000001</v>
      </c>
      <c r="H7">
        <f t="shared" si="0"/>
        <v>1.5990148061480403E-2</v>
      </c>
      <c r="I7">
        <f t="shared" si="1"/>
        <v>4.9999999999999822E-2</v>
      </c>
      <c r="J7">
        <f t="shared" si="2"/>
        <v>5.6685809897036744E-3</v>
      </c>
      <c r="K7">
        <f t="shared" si="3"/>
        <v>2.8208378940910732</v>
      </c>
    </row>
    <row r="9" spans="2:19" x14ac:dyDescent="0.3">
      <c r="B9">
        <v>0.4</v>
      </c>
      <c r="C9">
        <v>0.5</v>
      </c>
      <c r="D9">
        <v>3.9295599999999999</v>
      </c>
      <c r="E9">
        <v>3.9545599999999999</v>
      </c>
      <c r="F9">
        <v>3.9576600000000002</v>
      </c>
      <c r="G9">
        <v>3.9312100000000001</v>
      </c>
      <c r="H9">
        <f t="shared" si="0"/>
        <v>1.5857238585654986E-2</v>
      </c>
      <c r="I9">
        <f t="shared" si="1"/>
        <v>4.9999999999999822E-2</v>
      </c>
      <c r="J9">
        <f t="shared" si="2"/>
        <v>6.476670633014903E-3</v>
      </c>
      <c r="K9">
        <f t="shared" si="3"/>
        <v>2.4483626672047407</v>
      </c>
    </row>
    <row r="11" spans="2:19" x14ac:dyDescent="0.3">
      <c r="B11">
        <v>0.5</v>
      </c>
      <c r="C11">
        <v>0.5</v>
      </c>
      <c r="D11">
        <v>3.9415300000000002</v>
      </c>
      <c r="E11">
        <v>3.9665300000000001</v>
      </c>
      <c r="F11">
        <v>3.9701399999999998</v>
      </c>
      <c r="G11">
        <v>3.94346</v>
      </c>
      <c r="H11">
        <f t="shared" si="0"/>
        <v>1.5969650779245077E-2</v>
      </c>
      <c r="I11">
        <f t="shared" si="1"/>
        <v>4.9999999999999822E-2</v>
      </c>
      <c r="J11">
        <f t="shared" si="2"/>
        <v>7.5497486519232083E-3</v>
      </c>
      <c r="K11">
        <f t="shared" si="3"/>
        <v>2.1152559529484467</v>
      </c>
    </row>
    <row r="13" spans="2:19" x14ac:dyDescent="0.3">
      <c r="B13">
        <v>0.6</v>
      </c>
      <c r="C13">
        <v>0.5</v>
      </c>
      <c r="D13">
        <v>3.9500500000000001</v>
      </c>
      <c r="E13">
        <v>3.97505</v>
      </c>
      <c r="F13">
        <v>3.9793699999999999</v>
      </c>
      <c r="G13">
        <v>3.95235</v>
      </c>
      <c r="H13">
        <f t="shared" si="0"/>
        <v>1.5864296067192515E-2</v>
      </c>
      <c r="I13">
        <f t="shared" si="1"/>
        <v>4.9999999999999822E-2</v>
      </c>
      <c r="J13">
        <f t="shared" si="2"/>
        <v>9.0261193048387402E-3</v>
      </c>
      <c r="K13">
        <f t="shared" si="3"/>
        <v>1.7575987566093827</v>
      </c>
    </row>
    <row r="15" spans="2:19" x14ac:dyDescent="0.3">
      <c r="B15">
        <v>0.7</v>
      </c>
      <c r="C15">
        <v>0.5</v>
      </c>
      <c r="D15">
        <v>3.9580799999999998</v>
      </c>
      <c r="E15">
        <v>3.9830800000000002</v>
      </c>
      <c r="F15">
        <v>3.9884900000000001</v>
      </c>
      <c r="G15">
        <v>3.9609700000000001</v>
      </c>
      <c r="H15">
        <f t="shared" si="0"/>
        <v>1.5949151788690739E-2</v>
      </c>
      <c r="I15">
        <f t="shared" si="1"/>
        <v>5.0000000000000711E-2</v>
      </c>
      <c r="J15">
        <f t="shared" si="2"/>
        <v>1.1312091421994864E-2</v>
      </c>
      <c r="K15">
        <f t="shared" si="3"/>
        <v>1.4099206940353863</v>
      </c>
    </row>
    <row r="17" spans="1:15" x14ac:dyDescent="0.3">
      <c r="B17">
        <v>0.8</v>
      </c>
      <c r="C17">
        <v>0.5</v>
      </c>
      <c r="D17">
        <v>3.97302</v>
      </c>
      <c r="E17">
        <v>3.9980199999999999</v>
      </c>
      <c r="F17">
        <v>4.0052099999999999</v>
      </c>
      <c r="G17">
        <v>3.9768599999999998</v>
      </c>
      <c r="H17">
        <f t="shared" si="0"/>
        <v>1.5943399525264097E-2</v>
      </c>
      <c r="I17">
        <f t="shared" si="1"/>
        <v>4.9999999999999822E-2</v>
      </c>
      <c r="J17">
        <f t="shared" si="2"/>
        <v>1.5033226619455031E-2</v>
      </c>
      <c r="K17">
        <f t="shared" si="3"/>
        <v>1.0605440820423193</v>
      </c>
      <c r="O17" t="e" vm="1">
        <v>#VALUE!</v>
      </c>
    </row>
    <row r="19" spans="1:15" x14ac:dyDescent="0.3">
      <c r="B19">
        <v>0.9</v>
      </c>
      <c r="C19">
        <v>0.5</v>
      </c>
      <c r="D19">
        <v>4.0264100000000003</v>
      </c>
      <c r="E19">
        <v>4.0514099999999997</v>
      </c>
      <c r="F19">
        <v>4.0621700000000001</v>
      </c>
      <c r="G19">
        <v>4.0321499999999997</v>
      </c>
      <c r="H19">
        <f t="shared" si="0"/>
        <v>1.5914030006192997E-2</v>
      </c>
      <c r="I19">
        <f t="shared" si="1"/>
        <v>4.9999999999998934E-2</v>
      </c>
      <c r="J19">
        <f t="shared" si="2"/>
        <v>2.2491672371059823E-2</v>
      </c>
      <c r="K19">
        <f t="shared" si="3"/>
        <v>0.70755209944591224</v>
      </c>
    </row>
    <row r="21" spans="1:15" x14ac:dyDescent="0.3">
      <c r="B21">
        <v>1</v>
      </c>
      <c r="C21">
        <v>0.5</v>
      </c>
      <c r="D21">
        <v>4.1769999999999996</v>
      </c>
      <c r="E21">
        <v>4.2908600000000003</v>
      </c>
      <c r="F21">
        <v>4.3121600000000004</v>
      </c>
      <c r="G21">
        <v>4.2772199999999998</v>
      </c>
      <c r="H21">
        <f t="shared" si="0"/>
        <v>-6.4571923472704074E-3</v>
      </c>
      <c r="I21">
        <f t="shared" si="1"/>
        <v>0.22772000000000148</v>
      </c>
      <c r="J21">
        <f t="shared" si="2"/>
        <v>-1.8480937194550934E-5</v>
      </c>
      <c r="K21">
        <f t="shared" si="3"/>
        <v>349.39745096770832</v>
      </c>
    </row>
    <row r="24" spans="1:15" x14ac:dyDescent="0.3">
      <c r="A24" s="6"/>
    </row>
    <row r="25" spans="1:15" x14ac:dyDescent="0.3">
      <c r="A25" s="6"/>
    </row>
    <row r="26" spans="1:15" x14ac:dyDescent="0.3">
      <c r="A26" s="6"/>
    </row>
  </sheetData>
  <mergeCells count="1">
    <mergeCell ref="A24:A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BABA-2A5A-460B-9581-84E420A10601}">
  <dimension ref="A1:S27"/>
  <sheetViews>
    <sheetView workbookViewId="0">
      <selection activeCell="E30" sqref="E30"/>
    </sheetView>
  </sheetViews>
  <sheetFormatPr defaultRowHeight="14.4" x14ac:dyDescent="0.3"/>
  <cols>
    <col min="2" max="2" width="5" bestFit="1" customWidth="1"/>
    <col min="3" max="3" width="4" bestFit="1" customWidth="1"/>
    <col min="4" max="7" width="8" bestFit="1" customWidth="1"/>
    <col min="8" max="8" width="12" bestFit="1" customWidth="1"/>
    <col min="9" max="9" width="5" bestFit="1" customWidth="1"/>
    <col min="10" max="11" width="12" bestFit="1" customWidth="1"/>
  </cols>
  <sheetData>
    <row r="1" spans="2:19" x14ac:dyDescent="0.3">
      <c r="B1" t="s">
        <v>8</v>
      </c>
      <c r="C1" t="s">
        <v>0</v>
      </c>
      <c r="D1" s="1" t="s">
        <v>4</v>
      </c>
      <c r="E1" s="2" t="s">
        <v>5</v>
      </c>
      <c r="F1" s="3" t="s">
        <v>6</v>
      </c>
      <c r="G1" s="4" t="s">
        <v>7</v>
      </c>
      <c r="H1" s="5" t="s">
        <v>11</v>
      </c>
      <c r="I1" t="s">
        <v>1</v>
      </c>
      <c r="J1" t="s">
        <v>9</v>
      </c>
      <c r="K1" t="s">
        <v>10</v>
      </c>
      <c r="R1" t="s">
        <v>2</v>
      </c>
      <c r="S1">
        <v>0.01</v>
      </c>
    </row>
    <row r="2" spans="2:19" x14ac:dyDescent="0.3">
      <c r="B2">
        <v>0</v>
      </c>
      <c r="C2">
        <v>0.5</v>
      </c>
      <c r="D2">
        <v>2.6945899999999998</v>
      </c>
      <c r="E2">
        <v>2.7195900000000002</v>
      </c>
      <c r="F2">
        <v>2.7216399999999998</v>
      </c>
      <c r="G2">
        <v>2.6957300000000002</v>
      </c>
      <c r="H2">
        <f>-$S$1/LN((G2-D2)/(F2-E2))</f>
        <v>1.7041246594679257E-2</v>
      </c>
      <c r="I2">
        <f>(E2-D2)/$C$2</f>
        <v>5.0000000000000711E-2</v>
      </c>
      <c r="J2">
        <f>(F2-E2)/($C$2*(1-(EXP(-$S$2/H2))))</f>
        <v>4.3302882379319188E-3</v>
      </c>
      <c r="K2">
        <f>H2/J2</f>
        <v>3.9353608024065165</v>
      </c>
      <c r="R2" t="s">
        <v>3</v>
      </c>
      <c r="S2">
        <v>0.05</v>
      </c>
    </row>
    <row r="4" spans="2:19" x14ac:dyDescent="0.3">
      <c r="B4">
        <v>0.1</v>
      </c>
      <c r="C4">
        <v>0.5</v>
      </c>
      <c r="D4">
        <v>3.7751700000000001</v>
      </c>
      <c r="E4">
        <v>3.80017</v>
      </c>
      <c r="F4">
        <v>3.8023400000000001</v>
      </c>
      <c r="G4">
        <v>3.7763300000000002</v>
      </c>
      <c r="H4">
        <f t="shared" ref="H4:H22" si="0">-$S$1/LN((G4-D4)/(F4-E4))</f>
        <v>1.5966606482889979E-2</v>
      </c>
      <c r="I4">
        <f t="shared" ref="I4:I22" si="1">(E4-D4)/$C$2</f>
        <v>4.9999999999999822E-2</v>
      </c>
      <c r="J4">
        <f t="shared" ref="J4:J22" si="2">(F4-E4)/($C$2*(1-(EXP(-$S$2/H4))))</f>
        <v>4.5380908725686144E-3</v>
      </c>
      <c r="K4">
        <f t="shared" ref="K4:K22" si="3">H4/J4</f>
        <v>3.5183531866678304</v>
      </c>
    </row>
    <row r="6" spans="2:19" x14ac:dyDescent="0.3">
      <c r="B6">
        <v>0.2</v>
      </c>
      <c r="C6">
        <v>0.5</v>
      </c>
      <c r="D6">
        <v>3.8734000000000002</v>
      </c>
      <c r="E6">
        <v>3.8984000000000001</v>
      </c>
      <c r="F6">
        <v>3.9008099999999999</v>
      </c>
      <c r="G6">
        <v>3.8746900000000002</v>
      </c>
      <c r="H6">
        <f t="shared" si="0"/>
        <v>1.6000396064104347E-2</v>
      </c>
      <c r="I6">
        <f t="shared" si="1"/>
        <v>4.9999999999999822E-2</v>
      </c>
      <c r="J6">
        <f t="shared" si="2"/>
        <v>5.0415263436876644E-3</v>
      </c>
      <c r="K6">
        <f t="shared" si="3"/>
        <v>3.1737206102548559</v>
      </c>
    </row>
    <row r="8" spans="2:19" x14ac:dyDescent="0.3">
      <c r="B8">
        <v>0.3</v>
      </c>
      <c r="C8">
        <v>0.5</v>
      </c>
      <c r="D8">
        <v>3.9102399999999999</v>
      </c>
      <c r="E8">
        <v>3.9352399999999998</v>
      </c>
      <c r="F8">
        <v>3.9379499999999998</v>
      </c>
      <c r="G8">
        <v>3.9116900000000001</v>
      </c>
      <c r="H8">
        <f t="shared" si="0"/>
        <v>1.5990148061480403E-2</v>
      </c>
      <c r="I8">
        <f t="shared" si="1"/>
        <v>4.9999999999999822E-2</v>
      </c>
      <c r="J8">
        <f t="shared" si="2"/>
        <v>5.6685809897036744E-3</v>
      </c>
      <c r="K8">
        <f t="shared" si="3"/>
        <v>2.8208378940910732</v>
      </c>
    </row>
    <row r="10" spans="2:19" x14ac:dyDescent="0.3">
      <c r="B10">
        <v>0.4</v>
      </c>
      <c r="C10">
        <v>0.5</v>
      </c>
      <c r="D10">
        <v>3.9295599999999999</v>
      </c>
      <c r="E10">
        <v>3.9545599999999999</v>
      </c>
      <c r="F10">
        <v>3.9576600000000002</v>
      </c>
      <c r="G10">
        <v>3.9312100000000001</v>
      </c>
      <c r="H10">
        <f t="shared" si="0"/>
        <v>1.5857238585654986E-2</v>
      </c>
      <c r="I10">
        <f t="shared" si="1"/>
        <v>4.9999999999999822E-2</v>
      </c>
      <c r="J10">
        <f t="shared" si="2"/>
        <v>6.476670633014903E-3</v>
      </c>
      <c r="K10">
        <f t="shared" si="3"/>
        <v>2.4483626672047407</v>
      </c>
    </row>
    <row r="12" spans="2:19" x14ac:dyDescent="0.3">
      <c r="B12">
        <v>0.5</v>
      </c>
      <c r="C12">
        <v>0.5</v>
      </c>
      <c r="D12">
        <v>3.9415300000000002</v>
      </c>
      <c r="E12">
        <v>3.9665300000000001</v>
      </c>
      <c r="F12">
        <v>3.9701399999999998</v>
      </c>
      <c r="G12">
        <v>3.94346</v>
      </c>
      <c r="H12">
        <f t="shared" si="0"/>
        <v>1.5969650779245077E-2</v>
      </c>
      <c r="I12">
        <f t="shared" si="1"/>
        <v>4.9999999999999822E-2</v>
      </c>
      <c r="J12">
        <f t="shared" si="2"/>
        <v>7.5497486519232083E-3</v>
      </c>
      <c r="K12">
        <f t="shared" si="3"/>
        <v>2.1152559529484467</v>
      </c>
    </row>
    <row r="14" spans="2:19" x14ac:dyDescent="0.3">
      <c r="B14">
        <v>0.6</v>
      </c>
      <c r="C14">
        <v>0.5</v>
      </c>
      <c r="D14">
        <v>3.9500500000000001</v>
      </c>
      <c r="E14">
        <v>3.97505</v>
      </c>
      <c r="F14">
        <v>3.9793699999999999</v>
      </c>
      <c r="G14">
        <v>3.95235</v>
      </c>
      <c r="H14">
        <f t="shared" si="0"/>
        <v>1.5864296067192515E-2</v>
      </c>
      <c r="I14">
        <f t="shared" si="1"/>
        <v>4.9999999999999822E-2</v>
      </c>
      <c r="J14">
        <f t="shared" si="2"/>
        <v>9.0261193048387402E-3</v>
      </c>
      <c r="K14">
        <f t="shared" si="3"/>
        <v>1.7575987566093827</v>
      </c>
    </row>
    <row r="16" spans="2:19" x14ac:dyDescent="0.3">
      <c r="B16">
        <v>0.7</v>
      </c>
      <c r="C16">
        <v>0.5</v>
      </c>
      <c r="D16">
        <v>3.9580799999999998</v>
      </c>
      <c r="E16">
        <v>3.9830800000000002</v>
      </c>
      <c r="F16">
        <v>3.9884900000000001</v>
      </c>
      <c r="G16">
        <v>3.9609700000000001</v>
      </c>
      <c r="H16">
        <f t="shared" si="0"/>
        <v>1.5949151788690739E-2</v>
      </c>
      <c r="I16">
        <f t="shared" si="1"/>
        <v>5.0000000000000711E-2</v>
      </c>
      <c r="J16">
        <f t="shared" si="2"/>
        <v>1.1312091421994864E-2</v>
      </c>
      <c r="K16">
        <f t="shared" si="3"/>
        <v>1.4099206940353863</v>
      </c>
    </row>
    <row r="18" spans="1:15" x14ac:dyDescent="0.3">
      <c r="B18">
        <v>0.8</v>
      </c>
      <c r="C18">
        <v>0.5</v>
      </c>
      <c r="D18">
        <v>3.97302</v>
      </c>
      <c r="E18">
        <v>3.9980199999999999</v>
      </c>
      <c r="F18">
        <v>4.0052099999999999</v>
      </c>
      <c r="G18">
        <v>3.9768599999999998</v>
      </c>
      <c r="H18">
        <f t="shared" si="0"/>
        <v>1.5943399525264097E-2</v>
      </c>
      <c r="I18">
        <f t="shared" si="1"/>
        <v>4.9999999999999822E-2</v>
      </c>
      <c r="J18">
        <f t="shared" si="2"/>
        <v>1.5033226619455031E-2</v>
      </c>
      <c r="K18">
        <f t="shared" si="3"/>
        <v>1.0605440820423193</v>
      </c>
      <c r="O18" t="e" vm="1">
        <v>#VALUE!</v>
      </c>
    </row>
    <row r="20" spans="1:15" x14ac:dyDescent="0.3">
      <c r="B20">
        <v>0.9</v>
      </c>
      <c r="C20">
        <v>0.5</v>
      </c>
      <c r="D20">
        <v>4.0264100000000003</v>
      </c>
      <c r="E20">
        <v>4.0514099999999997</v>
      </c>
      <c r="F20">
        <v>4.0621700000000001</v>
      </c>
      <c r="G20">
        <v>4.0321499999999997</v>
      </c>
      <c r="H20">
        <f t="shared" si="0"/>
        <v>1.5914030006192997E-2</v>
      </c>
      <c r="I20">
        <f t="shared" si="1"/>
        <v>4.9999999999998934E-2</v>
      </c>
      <c r="J20">
        <f t="shared" si="2"/>
        <v>2.2491672371059823E-2</v>
      </c>
      <c r="K20">
        <f t="shared" si="3"/>
        <v>0.70755209944591224</v>
      </c>
    </row>
    <row r="22" spans="1:15" x14ac:dyDescent="0.3">
      <c r="B22">
        <v>1</v>
      </c>
      <c r="C22">
        <v>0.5</v>
      </c>
      <c r="D22">
        <v>4.173</v>
      </c>
      <c r="E22">
        <v>4.2908600000000003</v>
      </c>
      <c r="F22">
        <v>4.3121600000000004</v>
      </c>
      <c r="G22">
        <v>4.2772199999999998</v>
      </c>
      <c r="H22">
        <f t="shared" si="0"/>
        <v>-6.2980344126676979E-3</v>
      </c>
      <c r="I22">
        <f t="shared" si="1"/>
        <v>0.2357200000000006</v>
      </c>
      <c r="J22">
        <f t="shared" si="2"/>
        <v>-1.5195225706667467E-5</v>
      </c>
      <c r="K22">
        <f t="shared" si="3"/>
        <v>414.47455498500443</v>
      </c>
    </row>
    <row r="25" spans="1:15" x14ac:dyDescent="0.3">
      <c r="A25" s="6"/>
    </row>
    <row r="26" spans="1:15" x14ac:dyDescent="0.3">
      <c r="A26" s="6"/>
    </row>
    <row r="27" spans="1:15" x14ac:dyDescent="0.3">
      <c r="A27" s="6"/>
    </row>
  </sheetData>
  <mergeCells count="1">
    <mergeCell ref="A25:A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 cells</vt:lpstr>
      <vt:lpstr>cell 2</vt:lpstr>
      <vt:lpstr>cell 1</vt:lpstr>
      <vt:lpstr>cell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Lam Tung 20222709</dc:creator>
  <cp:lastModifiedBy>Hoang Dai Duong 20212738</cp:lastModifiedBy>
  <dcterms:created xsi:type="dcterms:W3CDTF">2025-03-11T10:51:01Z</dcterms:created>
  <dcterms:modified xsi:type="dcterms:W3CDTF">2025-08-25T16:24:27Z</dcterms:modified>
</cp:coreProperties>
</file>